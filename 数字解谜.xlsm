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D:\work\github\beanjelly\Digital-puzzle\"/>
    </mc:Choice>
  </mc:AlternateContent>
  <xr:revisionPtr revIDLastSave="0" documentId="13_ncr:1_{5BC2658D-78F1-4BF6-A632-06A9CE89B18F}" xr6:coauthVersionLast="45" xr6:coauthVersionMax="45" xr10:uidLastSave="{00000000-0000-0000-0000-000000000000}"/>
  <bookViews>
    <workbookView xWindow="-120" yWindow="-120" windowWidth="38640" windowHeight="21240" activeTab="1" xr2:uid="{FF2A8046-AB09-4B60-8AAA-E5920B6FCD09}"/>
  </bookViews>
  <sheets>
    <sheet name="玩法" sheetId="5" r:id="rId1"/>
    <sheet name="8x8" sheetId="3" r:id="rId2"/>
    <sheet name="10x10" sheetId="9" r:id="rId3"/>
    <sheet name="15x15" sheetId="10" r:id="rId4"/>
    <sheet name="随机矩阵" sheetId="4" state="hidden" r:id="rId5"/>
  </sheets>
  <definedNames>
    <definedName name="answer" localSheetId="2">'10x10'!$AH$13</definedName>
    <definedName name="answer" localSheetId="3">'15x15'!$AR$13</definedName>
    <definedName name="answer" localSheetId="1">'8x8'!$AD$13</definedName>
    <definedName name="mininavi" localSheetId="2">'10x10'!$U$25</definedName>
    <definedName name="mininavi" localSheetId="3">'15x15'!$Z$30</definedName>
    <definedName name="mininavi" localSheetId="1">'8x8'!$S$23</definedName>
    <definedName name="solution" localSheetId="2">'10x10'!$I$13</definedName>
    <definedName name="solution" localSheetId="3">'15x15'!$I$13</definedName>
    <definedName name="solution" localSheetId="1">'8x8'!$I$13</definedName>
    <definedName name="version">'8x8'!$Q$1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50" i="10" l="1"/>
  <c r="I41" i="9"/>
  <c r="I38" i="3"/>
  <c r="BL22" i="10" l="1"/>
  <c r="BK22" i="10"/>
  <c r="BJ22" i="10"/>
  <c r="BI22" i="10"/>
  <c r="BH22" i="10"/>
  <c r="BL21" i="10"/>
  <c r="BK21" i="10"/>
  <c r="BJ21" i="10"/>
  <c r="BI21" i="10"/>
  <c r="BH21" i="10"/>
  <c r="BL20" i="10"/>
  <c r="BK20" i="10"/>
  <c r="BJ20" i="10"/>
  <c r="BI20" i="10"/>
  <c r="BH20" i="10"/>
  <c r="BL19" i="10"/>
  <c r="BK19" i="10"/>
  <c r="BJ19" i="10"/>
  <c r="BI19" i="10"/>
  <c r="BH19" i="10"/>
  <c r="BL18" i="10"/>
  <c r="BK18" i="10"/>
  <c r="BJ18" i="10"/>
  <c r="BI18" i="10"/>
  <c r="BH18" i="10"/>
  <c r="BV27" i="10"/>
  <c r="BU27" i="10"/>
  <c r="BT27" i="10"/>
  <c r="BS27" i="10"/>
  <c r="BR27" i="10"/>
  <c r="BQ27" i="10"/>
  <c r="BP27" i="10"/>
  <c r="BO27" i="10"/>
  <c r="BN27" i="10"/>
  <c r="BM27" i="10"/>
  <c r="BV26" i="10"/>
  <c r="BU26" i="10"/>
  <c r="BT26" i="10"/>
  <c r="BS26" i="10"/>
  <c r="BR26" i="10"/>
  <c r="BQ26" i="10"/>
  <c r="BP26" i="10"/>
  <c r="BO26" i="10"/>
  <c r="BN26" i="10"/>
  <c r="BM26" i="10"/>
  <c r="BV25" i="10"/>
  <c r="BU25" i="10"/>
  <c r="BT25" i="10"/>
  <c r="BS25" i="10"/>
  <c r="BR25" i="10"/>
  <c r="BQ25" i="10"/>
  <c r="BP25" i="10"/>
  <c r="BO25" i="10"/>
  <c r="BN25" i="10"/>
  <c r="BM25" i="10"/>
  <c r="BV24" i="10"/>
  <c r="BU24" i="10"/>
  <c r="BT24" i="10"/>
  <c r="BS24" i="10"/>
  <c r="BR24" i="10"/>
  <c r="BQ24" i="10"/>
  <c r="BP24" i="10"/>
  <c r="BO24" i="10"/>
  <c r="BN24" i="10"/>
  <c r="BM24" i="10"/>
  <c r="BV23" i="10"/>
  <c r="BU23" i="10"/>
  <c r="BT23" i="10"/>
  <c r="BS23" i="10"/>
  <c r="BR23" i="10"/>
  <c r="BQ23" i="10"/>
  <c r="BP23" i="10"/>
  <c r="BO23" i="10"/>
  <c r="BN23" i="10"/>
  <c r="BM23" i="10"/>
  <c r="BV22" i="10"/>
  <c r="BU22" i="10"/>
  <c r="BT22" i="10"/>
  <c r="BS22" i="10"/>
  <c r="BR22" i="10"/>
  <c r="BQ22" i="10"/>
  <c r="BP22" i="10"/>
  <c r="BO22" i="10"/>
  <c r="BN22" i="10"/>
  <c r="BM22" i="10"/>
  <c r="BV21" i="10"/>
  <c r="BU21" i="10"/>
  <c r="BT21" i="10"/>
  <c r="BS21" i="10"/>
  <c r="BR21" i="10"/>
  <c r="BQ21" i="10"/>
  <c r="BP21" i="10"/>
  <c r="BO21" i="10"/>
  <c r="BN21" i="10"/>
  <c r="BM21" i="10"/>
  <c r="BV20" i="10"/>
  <c r="BU20" i="10"/>
  <c r="BT20" i="10"/>
  <c r="BS20" i="10"/>
  <c r="BR20" i="10"/>
  <c r="BQ20" i="10"/>
  <c r="BP20" i="10"/>
  <c r="BO20" i="10"/>
  <c r="BN20" i="10"/>
  <c r="BM20" i="10"/>
  <c r="BV19" i="10"/>
  <c r="BU19" i="10"/>
  <c r="BT19" i="10"/>
  <c r="BS19" i="10"/>
  <c r="BR19" i="10"/>
  <c r="BQ19" i="10"/>
  <c r="BP19" i="10"/>
  <c r="BO19" i="10"/>
  <c r="BN19" i="10"/>
  <c r="BM19" i="10"/>
  <c r="BV18" i="10"/>
  <c r="BU18" i="10"/>
  <c r="BT18" i="10"/>
  <c r="BS18" i="10"/>
  <c r="BR18" i="10"/>
  <c r="BQ18" i="10"/>
  <c r="BP18" i="10"/>
  <c r="BO18" i="10"/>
  <c r="BN18" i="10"/>
  <c r="BM18" i="10"/>
  <c r="BV17" i="10"/>
  <c r="BU17" i="10"/>
  <c r="BT17" i="10"/>
  <c r="BS17" i="10"/>
  <c r="BR17" i="10"/>
  <c r="BQ17" i="10"/>
  <c r="BP17" i="10"/>
  <c r="BO17" i="10"/>
  <c r="BN17" i="10"/>
  <c r="BM17" i="10"/>
  <c r="BV16" i="10"/>
  <c r="BU16" i="10"/>
  <c r="BT16" i="10"/>
  <c r="BS16" i="10"/>
  <c r="BR16" i="10"/>
  <c r="BQ16" i="10"/>
  <c r="BP16" i="10"/>
  <c r="BO16" i="10"/>
  <c r="BN16" i="10"/>
  <c r="BM16" i="10"/>
  <c r="BV15" i="10"/>
  <c r="BU15" i="10"/>
  <c r="BT15" i="10"/>
  <c r="BS15" i="10"/>
  <c r="BR15" i="10"/>
  <c r="BQ15" i="10"/>
  <c r="BP15" i="10"/>
  <c r="BO15" i="10"/>
  <c r="BN15" i="10"/>
  <c r="BM15" i="10"/>
  <c r="BV14" i="10"/>
  <c r="BU14" i="10"/>
  <c r="BT14" i="10"/>
  <c r="BS14" i="10"/>
  <c r="BR14" i="10"/>
  <c r="BQ14" i="10"/>
  <c r="BP14" i="10"/>
  <c r="BO14" i="10"/>
  <c r="BN14" i="10"/>
  <c r="BM14" i="10"/>
  <c r="BV13" i="10"/>
  <c r="BU13" i="10"/>
  <c r="BT13" i="10"/>
  <c r="BS13" i="10"/>
  <c r="BR13" i="10"/>
  <c r="BQ13" i="10"/>
  <c r="BP13" i="10"/>
  <c r="BO13" i="10"/>
  <c r="BN13" i="10"/>
  <c r="BM13" i="10"/>
  <c r="BL27" i="10"/>
  <c r="BK27" i="10"/>
  <c r="BJ27" i="10"/>
  <c r="BI27" i="10"/>
  <c r="BH27" i="10"/>
  <c r="BL26" i="10"/>
  <c r="BK26" i="10"/>
  <c r="BJ26" i="10"/>
  <c r="BI26" i="10"/>
  <c r="BH26" i="10"/>
  <c r="BL25" i="10"/>
  <c r="BK25" i="10"/>
  <c r="BJ25" i="10"/>
  <c r="BI25" i="10"/>
  <c r="BH25" i="10"/>
  <c r="BL24" i="10"/>
  <c r="BK24" i="10"/>
  <c r="BJ24" i="10"/>
  <c r="BI24" i="10"/>
  <c r="BH24" i="10"/>
  <c r="BL23" i="10"/>
  <c r="BK23" i="10"/>
  <c r="BJ23" i="10"/>
  <c r="BI23" i="10"/>
  <c r="BH23" i="10"/>
  <c r="BL17" i="10"/>
  <c r="BK17" i="10"/>
  <c r="BJ17" i="10"/>
  <c r="BI17" i="10"/>
  <c r="BH17" i="10"/>
  <c r="BL16" i="10"/>
  <c r="BK16" i="10"/>
  <c r="BJ16" i="10"/>
  <c r="BI16" i="10"/>
  <c r="BH16" i="10"/>
  <c r="BL15" i="10"/>
  <c r="BK15" i="10"/>
  <c r="BJ15" i="10"/>
  <c r="BI15" i="10"/>
  <c r="BH15" i="10"/>
  <c r="BL14" i="10"/>
  <c r="BK14" i="10"/>
  <c r="BJ14" i="10"/>
  <c r="BI14" i="10"/>
  <c r="BH14" i="10"/>
  <c r="BL13" i="10"/>
  <c r="BK13" i="10"/>
  <c r="BJ13" i="10"/>
  <c r="BI13" i="10"/>
  <c r="BH13" i="10"/>
  <c r="BB21" i="9"/>
  <c r="BA21" i="9"/>
  <c r="AZ21" i="9"/>
  <c r="AY21" i="9"/>
  <c r="AX21" i="9"/>
  <c r="AW21" i="9"/>
  <c r="AV21" i="9"/>
  <c r="AU21" i="9"/>
  <c r="AT21" i="9"/>
  <c r="AS21" i="9"/>
  <c r="BB20" i="9"/>
  <c r="BA20" i="9"/>
  <c r="AZ20" i="9"/>
  <c r="AY20" i="9"/>
  <c r="AX20" i="9"/>
  <c r="AW20" i="9"/>
  <c r="AV20" i="9"/>
  <c r="AU20" i="9"/>
  <c r="AT20" i="9"/>
  <c r="AS20" i="9"/>
  <c r="BA22" i="9"/>
  <c r="AZ22" i="9"/>
  <c r="BA19" i="9"/>
  <c r="AZ19" i="9"/>
  <c r="BA18" i="9"/>
  <c r="AZ18" i="9"/>
  <c r="BA17" i="9"/>
  <c r="AZ17" i="9"/>
  <c r="BA16" i="9"/>
  <c r="AZ16" i="9"/>
  <c r="BA15" i="9"/>
  <c r="AZ15" i="9"/>
  <c r="BA14" i="9"/>
  <c r="AZ14" i="9"/>
  <c r="BA13" i="9"/>
  <c r="AZ13" i="9"/>
  <c r="BB22" i="9"/>
  <c r="AY22" i="9"/>
  <c r="AX22" i="9"/>
  <c r="AW22" i="9"/>
  <c r="AV22" i="9"/>
  <c r="AU22" i="9"/>
  <c r="AT22" i="9"/>
  <c r="AS22" i="9"/>
  <c r="BB19" i="9"/>
  <c r="AY19" i="9"/>
  <c r="AX19" i="9"/>
  <c r="AW19" i="9"/>
  <c r="AV19" i="9"/>
  <c r="AU19" i="9"/>
  <c r="AT19" i="9"/>
  <c r="AS19" i="9"/>
  <c r="BB18" i="9"/>
  <c r="AY18" i="9"/>
  <c r="AX18" i="9"/>
  <c r="AW18" i="9"/>
  <c r="AV18" i="9"/>
  <c r="AU18" i="9"/>
  <c r="AT18" i="9"/>
  <c r="AS18" i="9"/>
  <c r="BB17" i="9"/>
  <c r="AY17" i="9"/>
  <c r="AX17" i="9"/>
  <c r="AW17" i="9"/>
  <c r="AV17" i="9"/>
  <c r="AU17" i="9"/>
  <c r="AT17" i="9"/>
  <c r="AS17" i="9"/>
  <c r="BB16" i="9"/>
  <c r="AY16" i="9"/>
  <c r="AX16" i="9"/>
  <c r="AW16" i="9"/>
  <c r="AV16" i="9"/>
  <c r="AU16" i="9"/>
  <c r="AT16" i="9"/>
  <c r="AS16" i="9"/>
  <c r="BB15" i="9"/>
  <c r="AY15" i="9"/>
  <c r="AX15" i="9"/>
  <c r="AW15" i="9"/>
  <c r="AV15" i="9"/>
  <c r="AU15" i="9"/>
  <c r="AT15" i="9"/>
  <c r="AS15" i="9"/>
  <c r="BB14" i="9"/>
  <c r="AY14" i="9"/>
  <c r="AX14" i="9"/>
  <c r="AW14" i="9"/>
  <c r="AV14" i="9"/>
  <c r="AU14" i="9"/>
  <c r="AT14" i="9"/>
  <c r="AS14" i="9"/>
  <c r="BB13" i="9"/>
  <c r="AY13" i="9"/>
  <c r="AX13" i="9"/>
  <c r="AW13" i="9"/>
  <c r="AV13" i="9"/>
  <c r="AU13" i="9"/>
  <c r="AT13" i="9"/>
  <c r="AS13" i="9"/>
  <c r="I30" i="10" l="1"/>
  <c r="I25" i="9"/>
  <c r="R9" i="5"/>
  <c r="Q9" i="5"/>
  <c r="P9" i="5"/>
  <c r="O9" i="5"/>
  <c r="R8" i="5"/>
  <c r="Q8" i="5"/>
  <c r="P8" i="5"/>
  <c r="O8" i="5"/>
  <c r="R7" i="5"/>
  <c r="Q7" i="5"/>
  <c r="P7" i="5"/>
  <c r="O7" i="5"/>
  <c r="R6" i="5"/>
  <c r="Q6" i="5"/>
  <c r="P6" i="5"/>
  <c r="O6" i="5"/>
  <c r="E11" i="5" l="1"/>
  <c r="U1" i="4"/>
  <c r="A1" i="4" s="1"/>
  <c r="I2" i="4" l="1"/>
  <c r="A7" i="4"/>
  <c r="C4" i="4"/>
  <c r="K5" i="4"/>
  <c r="G9" i="4"/>
  <c r="O10" i="4"/>
  <c r="K11" i="4"/>
  <c r="G12" i="4"/>
  <c r="C13" i="4"/>
  <c r="K14" i="4"/>
  <c r="G15" i="4"/>
  <c r="C16" i="4"/>
  <c r="O16" i="4"/>
  <c r="D1" i="4"/>
  <c r="L2" i="4"/>
  <c r="H3" i="4"/>
  <c r="P4" i="4"/>
  <c r="H6" i="4"/>
  <c r="E1" i="4"/>
  <c r="A2" i="4"/>
  <c r="M2" i="4"/>
  <c r="I3" i="4"/>
  <c r="E4" i="4"/>
  <c r="A5" i="4"/>
  <c r="M5" i="4"/>
  <c r="I6" i="4"/>
  <c r="E7" i="4"/>
  <c r="A8" i="4"/>
  <c r="M8" i="4"/>
  <c r="I9" i="4"/>
  <c r="E10" i="4"/>
  <c r="A11" i="4"/>
  <c r="M11" i="4"/>
  <c r="I12" i="4"/>
  <c r="E13" i="4"/>
  <c r="A14" i="4"/>
  <c r="M14" i="4"/>
  <c r="I15" i="4"/>
  <c r="E16" i="4"/>
  <c r="F1" i="4"/>
  <c r="B2" i="4"/>
  <c r="N2" i="4"/>
  <c r="J3" i="4"/>
  <c r="F4" i="4"/>
  <c r="B5" i="4"/>
  <c r="N5" i="4"/>
  <c r="J6" i="4"/>
  <c r="F7" i="4"/>
  <c r="B8" i="4"/>
  <c r="N8" i="4"/>
  <c r="J9" i="4"/>
  <c r="F10" i="4"/>
  <c r="B11" i="4"/>
  <c r="N11" i="4"/>
  <c r="J12" i="4"/>
  <c r="F13" i="4"/>
  <c r="B14" i="4"/>
  <c r="N14" i="4"/>
  <c r="J15" i="4"/>
  <c r="F16" i="4"/>
  <c r="O1" i="4"/>
  <c r="M4" i="4"/>
  <c r="G3" i="4"/>
  <c r="K8" i="4"/>
  <c r="O2" i="4"/>
  <c r="C5" i="4"/>
  <c r="K6" i="4"/>
  <c r="C8" i="4"/>
  <c r="G10" i="4"/>
  <c r="O11" i="4"/>
  <c r="K15" i="4"/>
  <c r="D2" i="4"/>
  <c r="H4" i="4"/>
  <c r="P5" i="4"/>
  <c r="D8" i="4"/>
  <c r="D11" i="4"/>
  <c r="H16" i="4"/>
  <c r="A4" i="4"/>
  <c r="M1" i="4"/>
  <c r="M7" i="4"/>
  <c r="O4" i="4"/>
  <c r="O7" i="4"/>
  <c r="C2" i="4"/>
  <c r="K3" i="4"/>
  <c r="O5" i="4"/>
  <c r="G7" i="4"/>
  <c r="K9" i="4"/>
  <c r="C11" i="4"/>
  <c r="K12" i="4"/>
  <c r="G13" i="4"/>
  <c r="C14" i="4"/>
  <c r="O14" i="4"/>
  <c r="G16" i="4"/>
  <c r="H1" i="4"/>
  <c r="P2" i="4"/>
  <c r="L3" i="4"/>
  <c r="D5" i="4"/>
  <c r="L6" i="4"/>
  <c r="H7" i="4"/>
  <c r="P8" i="4"/>
  <c r="L9" i="4"/>
  <c r="H10" i="4"/>
  <c r="P11" i="4"/>
  <c r="L12" i="4"/>
  <c r="H13" i="4"/>
  <c r="D14" i="4"/>
  <c r="P14" i="4"/>
  <c r="L15" i="4"/>
  <c r="I1" i="4"/>
  <c r="E2" i="4"/>
  <c r="A3" i="4"/>
  <c r="M3" i="4"/>
  <c r="I4" i="4"/>
  <c r="E5" i="4"/>
  <c r="A6" i="4"/>
  <c r="M6" i="4"/>
  <c r="I7" i="4"/>
  <c r="E8" i="4"/>
  <c r="A9" i="4"/>
  <c r="M9" i="4"/>
  <c r="I10" i="4"/>
  <c r="E11" i="4"/>
  <c r="A12" i="4"/>
  <c r="M12" i="4"/>
  <c r="I13" i="4"/>
  <c r="E14" i="4"/>
  <c r="A15" i="4"/>
  <c r="M15" i="4"/>
  <c r="I16" i="4"/>
  <c r="J1" i="4"/>
  <c r="F2" i="4"/>
  <c r="B3" i="4"/>
  <c r="N3" i="4"/>
  <c r="J4" i="4"/>
  <c r="F5" i="4"/>
  <c r="B6" i="4"/>
  <c r="N6" i="4"/>
  <c r="J7" i="4"/>
  <c r="F8" i="4"/>
  <c r="B9" i="4"/>
  <c r="N9" i="4"/>
  <c r="J10" i="4"/>
  <c r="F11" i="4"/>
  <c r="B12" i="4"/>
  <c r="N12" i="4"/>
  <c r="J13" i="4"/>
  <c r="F14" i="4"/>
  <c r="B15" i="4"/>
  <c r="N15" i="4"/>
  <c r="J16" i="4"/>
  <c r="I5" i="4"/>
  <c r="K2" i="4"/>
  <c r="G6" i="4"/>
  <c r="G1" i="4"/>
  <c r="G4" i="4"/>
  <c r="O8" i="4"/>
  <c r="K1" i="4"/>
  <c r="G2" i="4"/>
  <c r="C3" i="4"/>
  <c r="O3" i="4"/>
  <c r="K4" i="4"/>
  <c r="G5" i="4"/>
  <c r="C6" i="4"/>
  <c r="O6" i="4"/>
  <c r="K7" i="4"/>
  <c r="G8" i="4"/>
  <c r="C9" i="4"/>
  <c r="O9" i="4"/>
  <c r="K10" i="4"/>
  <c r="G11" i="4"/>
  <c r="C12" i="4"/>
  <c r="O12" i="4"/>
  <c r="K13" i="4"/>
  <c r="G14" i="4"/>
  <c r="C15" i="4"/>
  <c r="O15" i="4"/>
  <c r="K16" i="4"/>
  <c r="L1" i="4"/>
  <c r="H2" i="4"/>
  <c r="D3" i="4"/>
  <c r="P3" i="4"/>
  <c r="L4" i="4"/>
  <c r="H5" i="4"/>
  <c r="D6" i="4"/>
  <c r="P6" i="4"/>
  <c r="L7" i="4"/>
  <c r="H8" i="4"/>
  <c r="D9" i="4"/>
  <c r="P9" i="4"/>
  <c r="L10" i="4"/>
  <c r="H11" i="4"/>
  <c r="D12" i="4"/>
  <c r="P12" i="4"/>
  <c r="L13" i="4"/>
  <c r="H14" i="4"/>
  <c r="D15" i="4"/>
  <c r="P15" i="4"/>
  <c r="L16" i="4"/>
  <c r="E9" i="4"/>
  <c r="E3" i="4"/>
  <c r="E6" i="4"/>
  <c r="I8" i="4"/>
  <c r="A10" i="4"/>
  <c r="M10" i="4"/>
  <c r="I11" i="4"/>
  <c r="E12" i="4"/>
  <c r="A13" i="4"/>
  <c r="M13" i="4"/>
  <c r="I14" i="4"/>
  <c r="E15" i="4"/>
  <c r="A16" i="4"/>
  <c r="M16" i="4"/>
  <c r="B1" i="4"/>
  <c r="N1" i="4"/>
  <c r="J2" i="4"/>
  <c r="F3" i="4"/>
  <c r="B4" i="4"/>
  <c r="N4" i="4"/>
  <c r="J5" i="4"/>
  <c r="F6" i="4"/>
  <c r="B7" i="4"/>
  <c r="N7" i="4"/>
  <c r="J8" i="4"/>
  <c r="F9" i="4"/>
  <c r="B10" i="4"/>
  <c r="N10" i="4"/>
  <c r="J11" i="4"/>
  <c r="F12" i="4"/>
  <c r="B13" i="4"/>
  <c r="N13" i="4"/>
  <c r="J14" i="4"/>
  <c r="F15" i="4"/>
  <c r="B16" i="4"/>
  <c r="N16" i="4"/>
  <c r="C10" i="4"/>
  <c r="C1" i="4"/>
  <c r="C7" i="4"/>
  <c r="O13" i="4"/>
  <c r="P1" i="4"/>
  <c r="D4" i="4"/>
  <c r="L5" i="4"/>
  <c r="D7" i="4"/>
  <c r="P7" i="4"/>
  <c r="L8" i="4"/>
  <c r="H9" i="4"/>
  <c r="D10" i="4"/>
  <c r="P10" i="4"/>
  <c r="L11" i="4"/>
  <c r="H12" i="4"/>
  <c r="D13" i="4"/>
  <c r="P13" i="4"/>
  <c r="L14" i="4"/>
  <c r="H15" i="4"/>
  <c r="D16" i="4"/>
  <c r="P16" i="4"/>
  <c r="AT20" i="3"/>
  <c r="AS20" i="3"/>
  <c r="AR20" i="3"/>
  <c r="AQ20" i="3"/>
  <c r="AP20" i="3"/>
  <c r="AO20" i="3"/>
  <c r="AN20" i="3"/>
  <c r="AM20" i="3"/>
  <c r="AT19" i="3"/>
  <c r="AS19" i="3"/>
  <c r="AR19" i="3"/>
  <c r="AQ19" i="3"/>
  <c r="AP19" i="3"/>
  <c r="AO19" i="3"/>
  <c r="AN19" i="3"/>
  <c r="AM19" i="3"/>
  <c r="AT18" i="3"/>
  <c r="AS18" i="3"/>
  <c r="AR18" i="3"/>
  <c r="AQ18" i="3"/>
  <c r="AP18" i="3"/>
  <c r="AO18" i="3"/>
  <c r="AN18" i="3"/>
  <c r="AM18" i="3"/>
  <c r="AT17" i="3"/>
  <c r="AS17" i="3"/>
  <c r="AR17" i="3"/>
  <c r="AQ17" i="3"/>
  <c r="AP17" i="3"/>
  <c r="AO17" i="3"/>
  <c r="AN17" i="3"/>
  <c r="AM17" i="3"/>
  <c r="AT16" i="3"/>
  <c r="AS16" i="3"/>
  <c r="AR16" i="3"/>
  <c r="AQ16" i="3"/>
  <c r="AP16" i="3"/>
  <c r="AO16" i="3"/>
  <c r="AN16" i="3"/>
  <c r="AM16" i="3"/>
  <c r="AT15" i="3"/>
  <c r="AS15" i="3"/>
  <c r="AR15" i="3"/>
  <c r="AQ15" i="3"/>
  <c r="AP15" i="3"/>
  <c r="AO15" i="3"/>
  <c r="AN15" i="3"/>
  <c r="AM15" i="3"/>
  <c r="AT14" i="3"/>
  <c r="AS14" i="3"/>
  <c r="AR14" i="3"/>
  <c r="AQ14" i="3"/>
  <c r="AP14" i="3"/>
  <c r="AO14" i="3"/>
  <c r="AN14" i="3"/>
  <c r="AM14" i="3"/>
  <c r="AT13" i="3"/>
  <c r="AS13" i="3"/>
  <c r="AR13" i="3"/>
  <c r="AQ13" i="3"/>
  <c r="AP13" i="3"/>
  <c r="AO13" i="3"/>
  <c r="AN13" i="3"/>
  <c r="AM13" i="3"/>
  <c r="I23" i="3" l="1"/>
</calcChain>
</file>

<file path=xl/sharedStrings.xml><?xml version="1.0" encoding="utf-8"?>
<sst xmlns="http://schemas.openxmlformats.org/spreadsheetml/2006/main" count="149" uniqueCount="18">
  <si>
    <t>x</t>
  </si>
  <si>
    <t>敲1有色块</t>
    <phoneticPr fontId="1" type="noConversion"/>
  </si>
  <si>
    <t>敲x无色块</t>
    <phoneticPr fontId="1" type="noConversion"/>
  </si>
  <si>
    <t>显示PASS通关</t>
    <phoneticPr fontId="1" type="noConversion"/>
  </si>
  <si>
    <t>CopyRight@2020~2025 BY CLOUD</t>
    <phoneticPr fontId="1" type="noConversion"/>
  </si>
  <si>
    <t>x表示无色块</t>
    <phoneticPr fontId="1" type="noConversion"/>
  </si>
  <si>
    <t>1表示有色块</t>
    <phoneticPr fontId="1" type="noConversion"/>
  </si>
  <si>
    <t>示例</t>
    <phoneticPr fontId="1" type="noConversion"/>
  </si>
  <si>
    <t>解法</t>
    <phoneticPr fontId="1" type="noConversion"/>
  </si>
  <si>
    <t>谜面</t>
    <phoneticPr fontId="1" type="noConversion"/>
  </si>
  <si>
    <t>考虑横向</t>
    <phoneticPr fontId="1" type="noConversion"/>
  </si>
  <si>
    <t>考虑纵向</t>
    <phoneticPr fontId="1" type="noConversion"/>
  </si>
  <si>
    <t>数字解谜</t>
    <phoneticPr fontId="1" type="noConversion"/>
  </si>
  <si>
    <t>CopyRight@2020 BY CLOUD</t>
    <phoneticPr fontId="1" type="noConversion"/>
  </si>
  <si>
    <t>*每行左面有几个数字就表明该行有几个连续色块，每个数字从左到右依次表示从左到右的各连续色块内各包含几个色块；</t>
    <phoneticPr fontId="1" type="noConversion"/>
  </si>
  <si>
    <t>*每列上面有几个数字就表明该列有几个连续色块，每个数字从上到下依次表示从上到下的各连续色块内各包含几个色块。</t>
    <phoneticPr fontId="1" type="noConversion"/>
  </si>
  <si>
    <t>x</t>
    <phoneticPr fontId="1" type="noConversion"/>
  </si>
  <si>
    <t>v1.1.1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</si>
</sst>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
  </numFmts>
  <fonts count="16" x14ac:knownFonts="1">
    <font>
      <sz val="11"/>
      <color theme="1"/>
      <name val="等线"/>
      <family val="2"/>
      <charset val="134"/>
      <scheme val="minor"/>
    </font>
    <font>
      <sz val="9"/>
      <name val="等线"/>
      <family val="2"/>
      <charset val="134"/>
      <scheme val="minor"/>
    </font>
    <font>
      <sz val="10"/>
      <color theme="1"/>
      <name val="等线"/>
      <family val="2"/>
      <charset val="134"/>
      <scheme val="minor"/>
    </font>
    <font>
      <sz val="11"/>
      <color theme="0" tint="-0.249977111117893"/>
      <name val="等线"/>
      <family val="2"/>
      <charset val="134"/>
      <scheme val="minor"/>
    </font>
    <font>
      <b/>
      <sz val="11"/>
      <color theme="1"/>
      <name val="等线"/>
      <family val="3"/>
      <charset val="134"/>
      <scheme val="minor"/>
    </font>
    <font>
      <sz val="11"/>
      <color theme="1"/>
      <name val="等线"/>
      <family val="2"/>
      <charset val="134"/>
      <scheme val="minor"/>
    </font>
    <font>
      <b/>
      <sz val="18"/>
      <color rgb="FF00B050"/>
      <name val="等线"/>
      <family val="3"/>
      <charset val="134"/>
      <scheme val="minor"/>
    </font>
    <font>
      <b/>
      <sz val="11"/>
      <color rgb="FF00B050"/>
      <name val="等线"/>
      <family val="3"/>
      <charset val="134"/>
      <scheme val="minor"/>
    </font>
    <font>
      <sz val="9"/>
      <color theme="1"/>
      <name val="等线"/>
      <family val="2"/>
      <charset val="134"/>
      <scheme val="minor"/>
    </font>
    <font>
      <sz val="26"/>
      <color theme="0" tint="-4.9989318521683403E-2"/>
      <name val="等线"/>
      <family val="2"/>
      <charset val="134"/>
      <scheme val="minor"/>
    </font>
    <font>
      <sz val="26"/>
      <color theme="0" tint="-4.9989318521683403E-2"/>
      <name val="黑体"/>
      <family val="3"/>
      <charset val="134"/>
    </font>
    <font>
      <sz val="6"/>
      <color theme="1"/>
      <name val="等线"/>
      <family val="2"/>
      <charset val="134"/>
      <scheme val="minor"/>
    </font>
    <font>
      <sz val="6"/>
      <color theme="0" tint="-0.249977111117893"/>
      <name val="等线"/>
      <family val="2"/>
      <charset val="134"/>
      <scheme val="minor"/>
    </font>
    <font>
      <sz val="10"/>
      <color theme="1"/>
      <name val="等线"/>
      <family val="3"/>
      <charset val="134"/>
      <scheme val="minor"/>
    </font>
    <font>
      <sz val="10"/>
      <color theme="0" tint="-4.9989318521683403E-2"/>
      <name val="等线"/>
      <family val="2"/>
      <charset val="134"/>
      <scheme val="minor"/>
    </font>
    <font>
      <sz val="11"/>
      <color theme="1"/>
      <name val="等线"/>
      <family val="3"/>
      <charset val="134"/>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1" tint="0.34998626667073579"/>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bottom style="medium">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thin">
        <color indexed="64"/>
      </bottom>
      <diagonal/>
    </border>
    <border>
      <left style="dashed">
        <color indexed="64"/>
      </left>
      <right style="dashed">
        <color indexed="64"/>
      </right>
      <top style="dashed">
        <color indexed="64"/>
      </top>
      <bottom style="thin">
        <color indexed="64"/>
      </bottom>
      <diagonal/>
    </border>
    <border>
      <left style="dashed">
        <color indexed="64"/>
      </left>
      <right style="medium">
        <color indexed="64"/>
      </right>
      <top style="dashed">
        <color indexed="64"/>
      </top>
      <bottom style="thin">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thin">
        <color indexed="64"/>
      </bottom>
      <diagonal/>
    </border>
    <border>
      <left/>
      <right style="dashed">
        <color indexed="64"/>
      </right>
      <top/>
      <bottom style="dashed">
        <color indexed="64"/>
      </bottom>
      <diagonal/>
    </border>
    <border>
      <left/>
      <right style="dashed">
        <color indexed="64"/>
      </right>
      <top style="dashed">
        <color indexed="64"/>
      </top>
      <bottom style="medium">
        <color indexed="64"/>
      </bottom>
      <diagonal/>
    </border>
    <border>
      <left style="dashed">
        <color indexed="64"/>
      </left>
      <right style="thin">
        <color indexed="64"/>
      </right>
      <top style="medium">
        <color indexed="64"/>
      </top>
      <bottom style="dashed">
        <color indexed="64"/>
      </bottom>
      <diagonal/>
    </border>
    <border>
      <left style="dashed">
        <color indexed="64"/>
      </left>
      <right style="thin">
        <color indexed="64"/>
      </right>
      <top style="dashed">
        <color indexed="64"/>
      </top>
      <bottom style="dashed">
        <color indexed="64"/>
      </bottom>
      <diagonal/>
    </border>
    <border>
      <left style="dashed">
        <color indexed="64"/>
      </left>
      <right style="thin">
        <color indexed="64"/>
      </right>
      <top style="dashed">
        <color indexed="64"/>
      </top>
      <bottom style="thin">
        <color indexed="64"/>
      </bottom>
      <diagonal/>
    </border>
    <border>
      <left style="dashed">
        <color indexed="64"/>
      </left>
      <right style="thin">
        <color indexed="64"/>
      </right>
      <top/>
      <bottom style="dashed">
        <color indexed="64"/>
      </bottom>
      <diagonal/>
    </border>
    <border>
      <left style="dashed">
        <color indexed="64"/>
      </left>
      <right style="thin">
        <color indexed="64"/>
      </right>
      <top style="dashed">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top style="dashed">
        <color indexed="64"/>
      </top>
      <bottom/>
      <diagonal/>
    </border>
    <border>
      <left style="dashed">
        <color indexed="64"/>
      </left>
      <right/>
      <top style="medium">
        <color indexed="64"/>
      </top>
      <bottom style="dashed">
        <color indexed="64"/>
      </bottom>
      <diagonal/>
    </border>
    <border>
      <left style="dashed">
        <color indexed="64"/>
      </left>
      <right/>
      <top style="dashed">
        <color indexed="64"/>
      </top>
      <bottom style="dashed">
        <color indexed="64"/>
      </bottom>
      <diagonal/>
    </border>
    <border>
      <left style="dashed">
        <color indexed="64"/>
      </left>
      <right/>
      <top style="dashed">
        <color indexed="64"/>
      </top>
      <bottom style="thin">
        <color indexed="64"/>
      </bottom>
      <diagonal/>
    </border>
    <border>
      <left style="dashed">
        <color indexed="64"/>
      </left>
      <right/>
      <top style="dashed">
        <color indexed="64"/>
      </top>
      <bottom style="medium">
        <color indexed="64"/>
      </bottom>
      <diagonal/>
    </border>
    <border>
      <left style="medium">
        <color indexed="64"/>
      </left>
      <right style="dashed">
        <color indexed="64"/>
      </right>
      <top/>
      <bottom/>
      <diagonal/>
    </border>
    <border>
      <left style="dashed">
        <color indexed="64"/>
      </left>
      <right style="dashed">
        <color indexed="64"/>
      </right>
      <top/>
      <bottom/>
      <diagonal/>
    </border>
    <border>
      <left style="dashed">
        <color indexed="64"/>
      </left>
      <right style="thin">
        <color indexed="64"/>
      </right>
      <top/>
      <bottom/>
      <diagonal/>
    </border>
    <border>
      <left/>
      <right style="dashed">
        <color indexed="64"/>
      </right>
      <top/>
      <bottom/>
      <diagonal/>
    </border>
    <border>
      <left style="dashed">
        <color indexed="64"/>
      </left>
      <right style="medium">
        <color indexed="64"/>
      </right>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dashed">
        <color indexed="64"/>
      </left>
      <right/>
      <top/>
      <bottom/>
      <diagonal/>
    </border>
    <border>
      <left style="dashed">
        <color indexed="64"/>
      </left>
      <right/>
      <top style="thin">
        <color indexed="64"/>
      </top>
      <bottom style="dashed">
        <color indexed="64"/>
      </bottom>
      <diagonal/>
    </border>
    <border>
      <left style="thin">
        <color indexed="64"/>
      </left>
      <right style="dashed">
        <color indexed="64"/>
      </right>
      <top style="medium">
        <color indexed="64"/>
      </top>
      <bottom style="dashed">
        <color indexed="64"/>
      </bottom>
      <diagonal/>
    </border>
    <border>
      <left style="thin">
        <color indexed="64"/>
      </left>
      <right style="dashed">
        <color indexed="64"/>
      </right>
      <top style="dashed">
        <color indexed="64"/>
      </top>
      <bottom style="dashed">
        <color indexed="64"/>
      </bottom>
      <diagonal/>
    </border>
    <border>
      <left style="thin">
        <color indexed="64"/>
      </left>
      <right style="dashed">
        <color indexed="64"/>
      </right>
      <top style="dashed">
        <color indexed="64"/>
      </top>
      <bottom style="thin">
        <color indexed="64"/>
      </bottom>
      <diagonal/>
    </border>
    <border>
      <left style="thin">
        <color indexed="64"/>
      </left>
      <right style="dashed">
        <color indexed="64"/>
      </right>
      <top/>
      <bottom/>
      <diagonal/>
    </border>
    <border>
      <left style="thin">
        <color indexed="64"/>
      </left>
      <right style="dashed">
        <color indexed="64"/>
      </right>
      <top style="thin">
        <color indexed="64"/>
      </top>
      <bottom style="dashed">
        <color indexed="64"/>
      </bottom>
      <diagonal/>
    </border>
    <border>
      <left style="thin">
        <color indexed="64"/>
      </left>
      <right style="dashed">
        <color indexed="64"/>
      </right>
      <top style="dashed">
        <color indexed="64"/>
      </top>
      <bottom style="medium">
        <color indexed="64"/>
      </bottom>
      <diagonal/>
    </border>
    <border>
      <left style="thin">
        <color indexed="64"/>
      </left>
      <right style="dashed">
        <color indexed="64"/>
      </right>
      <top/>
      <bottom style="dashed">
        <color indexed="64"/>
      </bottom>
      <diagonal/>
    </border>
  </borders>
  <cellStyleXfs count="2">
    <xf numFmtId="0" fontId="0" fillId="0" borderId="0">
      <alignment vertical="center"/>
    </xf>
    <xf numFmtId="9" fontId="5" fillId="0" borderId="0" applyFont="0" applyFill="0" applyBorder="0" applyAlignment="0" applyProtection="0">
      <alignment vertical="center"/>
    </xf>
  </cellStyleXfs>
  <cellXfs count="213">
    <xf numFmtId="0" fontId="0" fillId="0" borderId="0" xfId="0">
      <alignment vertical="center"/>
    </xf>
    <xf numFmtId="177" fontId="0" fillId="0" borderId="1" xfId="0" applyNumberFormat="1" applyBorder="1" applyAlignment="1" applyProtection="1">
      <alignment horizontal="center" vertical="center"/>
    </xf>
    <xf numFmtId="177" fontId="0" fillId="0" borderId="2" xfId="0" applyNumberFormat="1" applyBorder="1" applyAlignment="1" applyProtection="1">
      <alignment horizontal="center" vertical="center"/>
    </xf>
    <xf numFmtId="177" fontId="0" fillId="0" borderId="12" xfId="0" applyNumberFormat="1" applyBorder="1" applyAlignment="1" applyProtection="1">
      <alignment horizontal="center" vertical="center"/>
    </xf>
    <xf numFmtId="177" fontId="0" fillId="0" borderId="3" xfId="0" applyNumberFormat="1" applyBorder="1" applyAlignment="1" applyProtection="1">
      <alignment horizontal="center" vertical="center"/>
    </xf>
    <xf numFmtId="177" fontId="0" fillId="0" borderId="4" xfId="0" applyNumberFormat="1" applyBorder="1" applyAlignment="1" applyProtection="1">
      <alignment horizontal="center" vertical="center"/>
    </xf>
    <xf numFmtId="177" fontId="0" fillId="0" borderId="0" xfId="0" applyNumberFormat="1" applyBorder="1" applyAlignment="1" applyProtection="1">
      <alignment horizontal="center" vertical="center"/>
    </xf>
    <xf numFmtId="177" fontId="0" fillId="0" borderId="13" xfId="0" applyNumberFormat="1" applyBorder="1" applyAlignment="1" applyProtection="1">
      <alignment horizontal="center" vertical="center"/>
    </xf>
    <xf numFmtId="177" fontId="0" fillId="0" borderId="5" xfId="0" applyNumberFormat="1" applyBorder="1" applyAlignment="1" applyProtection="1">
      <alignment horizontal="center" vertical="center"/>
    </xf>
    <xf numFmtId="177" fontId="0" fillId="0" borderId="0" xfId="0" applyNumberFormat="1" applyFill="1" applyBorder="1" applyAlignment="1" applyProtection="1">
      <alignment horizontal="center" vertical="center"/>
    </xf>
    <xf numFmtId="177" fontId="0" fillId="0" borderId="9" xfId="0" applyNumberFormat="1" applyBorder="1" applyAlignment="1" applyProtection="1">
      <alignment horizontal="center" vertical="center"/>
    </xf>
    <xf numFmtId="177" fontId="0" fillId="0" borderId="10" xfId="0" applyNumberFormat="1" applyBorder="1" applyAlignment="1" applyProtection="1">
      <alignment horizontal="center" vertical="center"/>
    </xf>
    <xf numFmtId="177" fontId="0" fillId="0" borderId="14" xfId="0" applyNumberFormat="1" applyBorder="1" applyAlignment="1" applyProtection="1">
      <alignment horizontal="center" vertical="center"/>
    </xf>
    <xf numFmtId="177" fontId="0" fillId="0" borderId="11" xfId="0" applyNumberFormat="1" applyBorder="1" applyAlignment="1" applyProtection="1">
      <alignment horizontal="center" vertical="center"/>
    </xf>
    <xf numFmtId="177" fontId="0" fillId="0" borderId="6" xfId="0" applyNumberFormat="1" applyBorder="1" applyAlignment="1" applyProtection="1">
      <alignment horizontal="center" vertical="center"/>
    </xf>
    <xf numFmtId="177" fontId="0" fillId="0" borderId="7" xfId="0" applyNumberFormat="1" applyBorder="1" applyAlignment="1" applyProtection="1">
      <alignment horizontal="center" vertical="center"/>
    </xf>
    <xf numFmtId="177" fontId="0" fillId="0" borderId="15" xfId="0" applyNumberFormat="1" applyBorder="1" applyAlignment="1" applyProtection="1">
      <alignment horizontal="center" vertical="center"/>
    </xf>
    <xf numFmtId="177" fontId="0" fillId="0" borderId="8" xfId="0" applyNumberFormat="1" applyBorder="1" applyAlignment="1" applyProtection="1">
      <alignment horizontal="center" vertical="center"/>
    </xf>
    <xf numFmtId="0" fontId="0" fillId="0" borderId="0" xfId="0" applyProtection="1">
      <alignment vertical="center"/>
    </xf>
    <xf numFmtId="176" fontId="0" fillId="0" borderId="16" xfId="0" applyNumberFormat="1" applyBorder="1" applyAlignment="1" applyProtection="1">
      <alignment horizontal="center" vertical="center"/>
    </xf>
    <xf numFmtId="176" fontId="0" fillId="0" borderId="17" xfId="0" applyNumberFormat="1" applyBorder="1" applyAlignment="1" applyProtection="1">
      <alignment horizontal="center" vertical="center"/>
    </xf>
    <xf numFmtId="176" fontId="0" fillId="0" borderId="36" xfId="0" applyNumberFormat="1" applyBorder="1" applyAlignment="1" applyProtection="1">
      <alignment horizontal="center" vertical="center"/>
    </xf>
    <xf numFmtId="176" fontId="0" fillId="0" borderId="31" xfId="0" applyNumberFormat="1" applyBorder="1" applyAlignment="1" applyProtection="1">
      <alignment horizontal="center" vertical="center"/>
    </xf>
    <xf numFmtId="176" fontId="0" fillId="0" borderId="18" xfId="0" applyNumberFormat="1" applyBorder="1" applyAlignment="1" applyProtection="1">
      <alignment horizontal="center" vertical="center"/>
    </xf>
    <xf numFmtId="0" fontId="2" fillId="0" borderId="1" xfId="0" applyFont="1" applyBorder="1" applyAlignment="1" applyProtection="1">
      <alignment horizontal="center" vertical="center"/>
    </xf>
    <xf numFmtId="0" fontId="2" fillId="0" borderId="2" xfId="0" applyFont="1" applyBorder="1" applyAlignment="1" applyProtection="1">
      <alignment horizontal="center" vertical="center"/>
    </xf>
    <xf numFmtId="0" fontId="2" fillId="0" borderId="12" xfId="0" applyFont="1" applyBorder="1" applyAlignment="1" applyProtection="1">
      <alignment horizontal="center" vertical="center"/>
    </xf>
    <xf numFmtId="0" fontId="2" fillId="0" borderId="3" xfId="0" applyFont="1" applyBorder="1" applyAlignment="1" applyProtection="1">
      <alignment horizontal="center" vertical="center"/>
    </xf>
    <xf numFmtId="176" fontId="0" fillId="0" borderId="19" xfId="0" applyNumberFormat="1" applyBorder="1" applyAlignment="1" applyProtection="1">
      <alignment horizontal="center" vertical="center"/>
    </xf>
    <xf numFmtId="176" fontId="0" fillId="0" borderId="20" xfId="0" applyNumberFormat="1" applyBorder="1" applyAlignment="1" applyProtection="1">
      <alignment horizontal="center" vertical="center"/>
    </xf>
    <xf numFmtId="176" fontId="0" fillId="0" borderId="37" xfId="0" applyNumberFormat="1" applyBorder="1" applyAlignment="1" applyProtection="1">
      <alignment horizontal="center" vertical="center"/>
    </xf>
    <xf numFmtId="176" fontId="0" fillId="0" borderId="32" xfId="0" applyNumberFormat="1" applyBorder="1" applyAlignment="1" applyProtection="1">
      <alignment horizontal="center" vertical="center"/>
    </xf>
    <xf numFmtId="176" fontId="0" fillId="0" borderId="21" xfId="0" applyNumberFormat="1" applyBorder="1" applyAlignment="1" applyProtection="1">
      <alignment horizontal="center" vertical="center"/>
    </xf>
    <xf numFmtId="0" fontId="2" fillId="0" borderId="4" xfId="0" applyFont="1" applyBorder="1" applyAlignment="1" applyProtection="1">
      <alignment horizontal="center" vertical="center"/>
    </xf>
    <xf numFmtId="0" fontId="2" fillId="0" borderId="0" xfId="0" applyFont="1" applyBorder="1" applyAlignment="1" applyProtection="1">
      <alignment horizontal="center" vertical="center"/>
    </xf>
    <xf numFmtId="0" fontId="2" fillId="0" borderId="13" xfId="0" applyFont="1" applyBorder="1" applyAlignment="1" applyProtection="1">
      <alignment horizontal="center" vertical="center"/>
    </xf>
    <xf numFmtId="0" fontId="2" fillId="0" borderId="5" xfId="0" applyFont="1" applyBorder="1" applyAlignment="1" applyProtection="1">
      <alignment horizontal="center" vertical="center"/>
    </xf>
    <xf numFmtId="176" fontId="0" fillId="0" borderId="28" xfId="0" applyNumberFormat="1" applyBorder="1" applyAlignment="1" applyProtection="1">
      <alignment horizontal="center" vertical="center"/>
    </xf>
    <xf numFmtId="176" fontId="0" fillId="0" borderId="29" xfId="0" applyNumberFormat="1" applyBorder="1" applyAlignment="1" applyProtection="1">
      <alignment horizontal="center" vertical="center"/>
    </xf>
    <xf numFmtId="176" fontId="0" fillId="0" borderId="38" xfId="0" applyNumberFormat="1" applyBorder="1" applyAlignment="1" applyProtection="1">
      <alignment horizontal="center" vertical="center"/>
    </xf>
    <xf numFmtId="176" fontId="0" fillId="0" borderId="33" xfId="0" applyNumberFormat="1" applyBorder="1" applyAlignment="1" applyProtection="1">
      <alignment horizontal="center" vertical="center"/>
    </xf>
    <xf numFmtId="176" fontId="0" fillId="0" borderId="30" xfId="0" applyNumberFormat="1" applyBorder="1" applyAlignment="1" applyProtection="1">
      <alignment horizontal="center" vertical="center"/>
    </xf>
    <xf numFmtId="0" fontId="2" fillId="0" borderId="9" xfId="0" applyFont="1" applyBorder="1" applyAlignment="1" applyProtection="1">
      <alignment horizontal="center" vertical="center"/>
    </xf>
    <xf numFmtId="0" fontId="2" fillId="0" borderId="10"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11" xfId="0" applyFont="1" applyBorder="1" applyAlignment="1" applyProtection="1">
      <alignment horizontal="center" vertical="center"/>
    </xf>
    <xf numFmtId="176" fontId="0" fillId="0" borderId="25" xfId="0" applyNumberFormat="1" applyBorder="1" applyAlignment="1" applyProtection="1">
      <alignment horizontal="center" vertical="center"/>
    </xf>
    <xf numFmtId="176" fontId="0" fillId="0" borderId="26" xfId="0" applyNumberFormat="1" applyBorder="1" applyAlignment="1" applyProtection="1">
      <alignment horizontal="center" vertical="center"/>
    </xf>
    <xf numFmtId="176" fontId="0" fillId="0" borderId="39" xfId="0" applyNumberFormat="1" applyBorder="1" applyAlignment="1" applyProtection="1">
      <alignment horizontal="center" vertical="center"/>
    </xf>
    <xf numFmtId="176" fontId="0" fillId="0" borderId="34" xfId="0" applyNumberFormat="1" applyBorder="1" applyAlignment="1" applyProtection="1">
      <alignment horizontal="center" vertical="center"/>
    </xf>
    <xf numFmtId="176" fontId="0" fillId="0" borderId="27" xfId="0" applyNumberFormat="1" applyBorder="1" applyAlignment="1" applyProtection="1">
      <alignment horizontal="center" vertical="center"/>
    </xf>
    <xf numFmtId="176" fontId="0" fillId="0" borderId="20" xfId="0" applyNumberFormat="1" applyFill="1" applyBorder="1" applyAlignment="1" applyProtection="1">
      <alignment horizontal="center" vertical="center"/>
    </xf>
    <xf numFmtId="176" fontId="0" fillId="0" borderId="32" xfId="0" applyNumberFormat="1" applyFill="1" applyBorder="1" applyAlignment="1" applyProtection="1">
      <alignment horizontal="center" vertical="center"/>
    </xf>
    <xf numFmtId="176" fontId="0" fillId="0" borderId="22" xfId="0" applyNumberFormat="1" applyBorder="1" applyAlignment="1" applyProtection="1">
      <alignment horizontal="center" vertical="center"/>
    </xf>
    <xf numFmtId="176" fontId="0" fillId="0" borderId="23" xfId="0" applyNumberFormat="1" applyBorder="1" applyAlignment="1" applyProtection="1">
      <alignment horizontal="center" vertical="center"/>
    </xf>
    <xf numFmtId="176" fontId="0" fillId="0" borderId="40" xfId="0" applyNumberFormat="1" applyBorder="1" applyAlignment="1" applyProtection="1">
      <alignment horizontal="center" vertical="center"/>
    </xf>
    <xf numFmtId="176" fontId="0" fillId="0" borderId="35" xfId="0" applyNumberFormat="1" applyBorder="1" applyAlignment="1" applyProtection="1">
      <alignment horizontal="center" vertical="center"/>
    </xf>
    <xf numFmtId="176" fontId="0" fillId="0" borderId="24" xfId="0" applyNumberFormat="1" applyBorder="1" applyAlignment="1" applyProtection="1">
      <alignment horizontal="center" vertical="center"/>
    </xf>
    <xf numFmtId="0" fontId="2" fillId="0" borderId="6" xfId="0" applyFont="1" applyBorder="1" applyAlignment="1" applyProtection="1">
      <alignment horizontal="center" vertical="center"/>
    </xf>
    <xf numFmtId="0" fontId="2" fillId="0" borderId="7" xfId="0" applyFont="1" applyBorder="1" applyAlignment="1" applyProtection="1">
      <alignment horizontal="center" vertical="center"/>
    </xf>
    <xf numFmtId="0" fontId="2" fillId="0" borderId="15" xfId="0" applyFont="1" applyBorder="1" applyAlignment="1" applyProtection="1">
      <alignment horizontal="center" vertical="center"/>
    </xf>
    <xf numFmtId="0" fontId="2" fillId="0" borderId="8" xfId="0" applyFont="1" applyBorder="1" applyAlignment="1" applyProtection="1">
      <alignment horizontal="center" vertical="center"/>
    </xf>
    <xf numFmtId="0" fontId="3" fillId="0" borderId="0" xfId="0" applyFont="1" applyProtection="1">
      <alignment vertical="center"/>
    </xf>
    <xf numFmtId="0" fontId="4" fillId="0" borderId="0" xfId="0" applyFont="1" applyAlignment="1" applyProtection="1">
      <alignment horizontal="center" vertical="center"/>
    </xf>
    <xf numFmtId="9" fontId="0" fillId="0" borderId="0" xfId="1" applyFont="1">
      <alignment vertical="center"/>
    </xf>
    <xf numFmtId="177" fontId="0" fillId="2" borderId="2" xfId="0" applyNumberFormat="1" applyFill="1" applyBorder="1" applyAlignment="1" applyProtection="1">
      <alignment horizontal="center" vertical="center"/>
    </xf>
    <xf numFmtId="177" fontId="0" fillId="2" borderId="3" xfId="0" applyNumberFormat="1" applyFill="1" applyBorder="1" applyAlignment="1" applyProtection="1">
      <alignment horizontal="center" vertical="center"/>
    </xf>
    <xf numFmtId="177" fontId="0" fillId="2" borderId="0" xfId="0" applyNumberFormat="1" applyFill="1" applyBorder="1" applyAlignment="1" applyProtection="1">
      <alignment horizontal="center" vertical="center"/>
    </xf>
    <xf numFmtId="177" fontId="0" fillId="2" borderId="5" xfId="0" applyNumberFormat="1" applyFill="1" applyBorder="1" applyAlignment="1" applyProtection="1">
      <alignment horizontal="center" vertical="center"/>
    </xf>
    <xf numFmtId="177" fontId="0" fillId="2" borderId="9" xfId="0" applyNumberFormat="1" applyFill="1" applyBorder="1" applyAlignment="1" applyProtection="1">
      <alignment horizontal="center" vertical="center"/>
    </xf>
    <xf numFmtId="177" fontId="0" fillId="2" borderId="11" xfId="0" applyNumberFormat="1" applyFill="1" applyBorder="1" applyAlignment="1" applyProtection="1">
      <alignment horizontal="center" vertical="center"/>
    </xf>
    <xf numFmtId="177" fontId="0" fillId="2" borderId="7" xfId="0" applyNumberFormat="1" applyFill="1" applyBorder="1" applyAlignment="1" applyProtection="1">
      <alignment horizontal="center" vertical="center"/>
    </xf>
    <xf numFmtId="177" fontId="0" fillId="2" borderId="8" xfId="0" applyNumberFormat="1" applyFill="1" applyBorder="1" applyAlignment="1" applyProtection="1">
      <alignment horizontal="center" vertical="center"/>
    </xf>
    <xf numFmtId="177" fontId="0" fillId="2" borderId="4" xfId="0" applyNumberFormat="1" applyFill="1" applyBorder="1" applyAlignment="1" applyProtection="1">
      <alignment horizontal="center" vertical="center"/>
    </xf>
    <xf numFmtId="177" fontId="0" fillId="2" borderId="41" xfId="0" applyNumberFormat="1" applyFill="1" applyBorder="1" applyAlignment="1" applyProtection="1">
      <alignment horizontal="center" vertical="center"/>
    </xf>
    <xf numFmtId="177" fontId="0" fillId="2" borderId="6" xfId="0" applyNumberFormat="1" applyFill="1" applyBorder="1" applyAlignment="1" applyProtection="1">
      <alignment horizontal="center" vertical="center"/>
    </xf>
    <xf numFmtId="177" fontId="0" fillId="2" borderId="42" xfId="0" applyNumberFormat="1" applyFill="1" applyBorder="1" applyAlignment="1" applyProtection="1">
      <alignment horizontal="center" vertical="center"/>
    </xf>
    <xf numFmtId="177" fontId="0" fillId="3" borderId="2" xfId="0" applyNumberFormat="1" applyFill="1" applyBorder="1" applyAlignment="1" applyProtection="1">
      <alignment horizontal="center" vertical="center"/>
    </xf>
    <xf numFmtId="177" fontId="0" fillId="3" borderId="3" xfId="0" applyNumberFormat="1" applyFill="1" applyBorder="1" applyAlignment="1" applyProtection="1">
      <alignment horizontal="center" vertical="center"/>
    </xf>
    <xf numFmtId="177" fontId="0" fillId="3" borderId="0" xfId="0" applyNumberFormat="1" applyFill="1" applyBorder="1" applyAlignment="1" applyProtection="1">
      <alignment horizontal="center" vertical="center"/>
    </xf>
    <xf numFmtId="177" fontId="0" fillId="3" borderId="5" xfId="0" applyNumberFormat="1" applyFill="1" applyBorder="1" applyAlignment="1" applyProtection="1">
      <alignment horizontal="center" vertical="center"/>
    </xf>
    <xf numFmtId="177" fontId="0" fillId="3" borderId="44" xfId="0" applyNumberFormat="1" applyFill="1" applyBorder="1" applyAlignment="1" applyProtection="1">
      <alignment horizontal="center" vertical="center"/>
    </xf>
    <xf numFmtId="177" fontId="0" fillId="3" borderId="46" xfId="0" applyNumberFormat="1" applyFill="1" applyBorder="1" applyAlignment="1" applyProtection="1">
      <alignment horizontal="center" vertical="center"/>
    </xf>
    <xf numFmtId="177" fontId="0" fillId="3" borderId="4" xfId="0" applyNumberFormat="1" applyFill="1" applyBorder="1" applyAlignment="1" applyProtection="1">
      <alignment horizontal="center" vertical="center"/>
    </xf>
    <xf numFmtId="177" fontId="0" fillId="3" borderId="7" xfId="0" applyNumberFormat="1" applyFill="1" applyBorder="1" applyAlignment="1" applyProtection="1">
      <alignment horizontal="center" vertical="center"/>
    </xf>
    <xf numFmtId="177" fontId="0" fillId="3" borderId="8" xfId="0" applyNumberFormat="1" applyFill="1" applyBorder="1" applyAlignment="1" applyProtection="1">
      <alignment horizontal="center" vertical="center"/>
    </xf>
    <xf numFmtId="177" fontId="0" fillId="3" borderId="41" xfId="0" applyNumberFormat="1" applyFill="1" applyBorder="1" applyAlignment="1" applyProtection="1">
      <alignment horizontal="center" vertical="center"/>
    </xf>
    <xf numFmtId="177" fontId="0" fillId="3" borderId="6" xfId="0" applyNumberFormat="1" applyFill="1" applyBorder="1" applyAlignment="1" applyProtection="1">
      <alignment horizontal="center" vertical="center"/>
    </xf>
    <xf numFmtId="177" fontId="0" fillId="3" borderId="42" xfId="0" applyNumberFormat="1" applyFill="1" applyBorder="1" applyAlignment="1" applyProtection="1">
      <alignment horizontal="center" vertical="center"/>
    </xf>
    <xf numFmtId="177" fontId="0" fillId="4" borderId="3" xfId="0" applyNumberFormat="1" applyFill="1" applyBorder="1" applyAlignment="1" applyProtection="1">
      <alignment horizontal="center" vertical="center"/>
    </xf>
    <xf numFmtId="177" fontId="0" fillId="4" borderId="5" xfId="0" applyNumberFormat="1" applyFill="1" applyBorder="1" applyAlignment="1" applyProtection="1">
      <alignment horizontal="center" vertical="center"/>
    </xf>
    <xf numFmtId="177" fontId="0" fillId="4" borderId="11" xfId="0" applyNumberFormat="1" applyFill="1" applyBorder="1" applyAlignment="1" applyProtection="1">
      <alignment horizontal="center" vertical="center"/>
    </xf>
    <xf numFmtId="177" fontId="0" fillId="4" borderId="8" xfId="0" applyNumberFormat="1" applyFill="1" applyBorder="1" applyAlignment="1" applyProtection="1">
      <alignment horizontal="center" vertical="center"/>
    </xf>
    <xf numFmtId="177" fontId="0" fillId="4" borderId="6" xfId="0" applyNumberFormat="1" applyFill="1" applyBorder="1" applyAlignment="1" applyProtection="1">
      <alignment horizontal="center" vertical="center"/>
    </xf>
    <xf numFmtId="177" fontId="0" fillId="4" borderId="7" xfId="0" applyNumberFormat="1" applyFill="1" applyBorder="1" applyAlignment="1" applyProtection="1">
      <alignment horizontal="center" vertical="center"/>
    </xf>
    <xf numFmtId="177" fontId="0" fillId="4" borderId="15" xfId="0" applyNumberFormat="1" applyFill="1" applyBorder="1" applyAlignment="1" applyProtection="1">
      <alignment horizontal="center" vertical="center"/>
    </xf>
    <xf numFmtId="0" fontId="0" fillId="0" borderId="0" xfId="1" applyNumberFormat="1" applyFont="1">
      <alignment vertical="center"/>
    </xf>
    <xf numFmtId="0" fontId="0" fillId="0" borderId="1" xfId="0" applyNumberFormat="1" applyBorder="1" applyAlignment="1" applyProtection="1">
      <alignment horizontal="center" vertical="center"/>
    </xf>
    <xf numFmtId="0" fontId="0" fillId="0" borderId="2" xfId="0" applyNumberFormat="1" applyBorder="1" applyAlignment="1" applyProtection="1">
      <alignment horizontal="center" vertical="center"/>
    </xf>
    <xf numFmtId="0" fontId="0" fillId="0" borderId="3" xfId="0" applyNumberFormat="1" applyBorder="1" applyAlignment="1" applyProtection="1">
      <alignment horizontal="center" vertical="center"/>
    </xf>
    <xf numFmtId="0" fontId="0" fillId="0" borderId="4" xfId="0" applyNumberFormat="1" applyBorder="1" applyAlignment="1" applyProtection="1">
      <alignment horizontal="center" vertical="center"/>
    </xf>
    <xf numFmtId="0" fontId="0" fillId="0" borderId="0" xfId="0" applyNumberFormat="1" applyBorder="1" applyAlignment="1" applyProtection="1">
      <alignment horizontal="center" vertical="center"/>
    </xf>
    <xf numFmtId="0" fontId="0" fillId="0" borderId="5" xfId="0" applyNumberFormat="1" applyBorder="1" applyAlignment="1" applyProtection="1">
      <alignment horizontal="center" vertical="center"/>
    </xf>
    <xf numFmtId="0" fontId="0" fillId="0" borderId="6" xfId="0" applyNumberFormat="1" applyBorder="1" applyAlignment="1" applyProtection="1">
      <alignment horizontal="center" vertical="center"/>
    </xf>
    <xf numFmtId="0" fontId="0" fillId="0" borderId="7" xfId="0" applyNumberFormat="1" applyBorder="1" applyAlignment="1" applyProtection="1">
      <alignment horizontal="center" vertical="center"/>
    </xf>
    <xf numFmtId="0" fontId="0" fillId="0" borderId="8" xfId="0" applyNumberFormat="1" applyBorder="1" applyAlignment="1" applyProtection="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177" fontId="0" fillId="4" borderId="2" xfId="0" applyNumberFormat="1" applyFill="1" applyBorder="1" applyAlignment="1" applyProtection="1">
      <alignment horizontal="center" vertical="center"/>
    </xf>
    <xf numFmtId="177" fontId="0" fillId="4" borderId="0" xfId="0" applyNumberFormat="1" applyFill="1" applyBorder="1" applyAlignment="1" applyProtection="1">
      <alignment horizontal="center" vertical="center"/>
    </xf>
    <xf numFmtId="177" fontId="0" fillId="4" borderId="45" xfId="0" applyNumberFormat="1" applyFill="1" applyBorder="1" applyAlignment="1" applyProtection="1">
      <alignment horizontal="center" vertical="center"/>
    </xf>
    <xf numFmtId="177" fontId="0" fillId="4" borderId="46" xfId="0" applyNumberFormat="1" applyFill="1" applyBorder="1" applyAlignment="1" applyProtection="1">
      <alignment horizontal="center" vertical="center"/>
    </xf>
    <xf numFmtId="177" fontId="0" fillId="4" borderId="10" xfId="0" applyNumberFormat="1" applyFill="1" applyBorder="1" applyAlignment="1" applyProtection="1">
      <alignment horizontal="center" vertical="center"/>
    </xf>
    <xf numFmtId="177" fontId="0" fillId="4" borderId="4" xfId="0" applyNumberFormat="1" applyFill="1" applyBorder="1" applyAlignment="1" applyProtection="1">
      <alignment horizontal="center" vertical="center"/>
    </xf>
    <xf numFmtId="177" fontId="0" fillId="4" borderId="43" xfId="0" applyNumberFormat="1" applyFill="1" applyBorder="1" applyAlignment="1" applyProtection="1">
      <alignment horizontal="center" vertical="center"/>
    </xf>
    <xf numFmtId="177" fontId="0" fillId="4" borderId="13" xfId="0" applyNumberFormat="1" applyFill="1" applyBorder="1" applyAlignment="1" applyProtection="1">
      <alignment horizontal="center" vertical="center"/>
    </xf>
    <xf numFmtId="177" fontId="0" fillId="4" borderId="42" xfId="0" applyNumberFormat="1" applyFill="1" applyBorder="1" applyAlignment="1" applyProtection="1">
      <alignment horizontal="center" vertical="center"/>
    </xf>
    <xf numFmtId="177" fontId="0" fillId="5" borderId="3" xfId="0" applyNumberFormat="1" applyFill="1" applyBorder="1" applyAlignment="1" applyProtection="1">
      <alignment horizontal="center" vertical="center"/>
    </xf>
    <xf numFmtId="177" fontId="0" fillId="5" borderId="5" xfId="0" applyNumberFormat="1" applyFill="1" applyBorder="1" applyAlignment="1" applyProtection="1">
      <alignment horizontal="center" vertical="center"/>
    </xf>
    <xf numFmtId="177" fontId="0" fillId="5" borderId="11" xfId="0" applyNumberFormat="1" applyFill="1" applyBorder="1" applyAlignment="1" applyProtection="1">
      <alignment horizontal="center" vertical="center"/>
    </xf>
    <xf numFmtId="177" fontId="0" fillId="5" borderId="8" xfId="0" applyNumberFormat="1" applyFill="1" applyBorder="1" applyAlignment="1" applyProtection="1">
      <alignment horizontal="center" vertical="center"/>
    </xf>
    <xf numFmtId="177" fontId="0" fillId="5" borderId="6" xfId="0" applyNumberFormat="1" applyFill="1" applyBorder="1" applyAlignment="1" applyProtection="1">
      <alignment horizontal="center" vertical="center"/>
    </xf>
    <xf numFmtId="177" fontId="0" fillId="5" borderId="7" xfId="0" applyNumberFormat="1" applyFill="1" applyBorder="1" applyAlignment="1" applyProtection="1">
      <alignment horizontal="center" vertical="center"/>
    </xf>
    <xf numFmtId="177" fontId="0" fillId="5" borderId="15" xfId="0" applyNumberFormat="1" applyFill="1" applyBorder="1" applyAlignment="1" applyProtection="1">
      <alignment horizontal="center" vertical="center"/>
    </xf>
    <xf numFmtId="0" fontId="4" fillId="0" borderId="0" xfId="0" applyFont="1">
      <alignment vertical="center"/>
    </xf>
    <xf numFmtId="0" fontId="8" fillId="0" borderId="0" xfId="0" applyFont="1">
      <alignment vertical="center"/>
    </xf>
    <xf numFmtId="0" fontId="0" fillId="0" borderId="47" xfId="0" applyBorder="1">
      <alignment vertical="center"/>
    </xf>
    <xf numFmtId="0" fontId="0" fillId="0" borderId="0" xfId="0" applyBorder="1" applyProtection="1">
      <alignment vertical="center"/>
    </xf>
    <xf numFmtId="0" fontId="0" fillId="6" borderId="0" xfId="0" applyFill="1" applyProtection="1">
      <alignment vertical="center"/>
    </xf>
    <xf numFmtId="0" fontId="9" fillId="6" borderId="0" xfId="0" applyFont="1" applyFill="1" applyAlignment="1" applyProtection="1">
      <alignment vertical="center"/>
    </xf>
    <xf numFmtId="176" fontId="0" fillId="0" borderId="48" xfId="0" applyNumberFormat="1" applyBorder="1" applyAlignment="1" applyProtection="1">
      <alignment horizontal="center" vertical="center"/>
    </xf>
    <xf numFmtId="176" fontId="0" fillId="0" borderId="49" xfId="0" applyNumberFormat="1" applyBorder="1" applyAlignment="1" applyProtection="1">
      <alignment horizontal="center" vertical="center"/>
    </xf>
    <xf numFmtId="176" fontId="0" fillId="0" borderId="50" xfId="0" applyNumberFormat="1" applyBorder="1" applyAlignment="1" applyProtection="1">
      <alignment horizontal="center" vertical="center"/>
    </xf>
    <xf numFmtId="176" fontId="0" fillId="0" borderId="49" xfId="0" applyNumberFormat="1" applyFill="1" applyBorder="1" applyAlignment="1" applyProtection="1">
      <alignment horizontal="center" vertical="center"/>
    </xf>
    <xf numFmtId="176" fontId="0" fillId="0" borderId="51" xfId="0" applyNumberFormat="1" applyBorder="1" applyAlignment="1" applyProtection="1">
      <alignment horizontal="center" vertical="center"/>
    </xf>
    <xf numFmtId="176" fontId="0" fillId="0" borderId="37" xfId="0" applyNumberFormat="1" applyFill="1" applyBorder="1" applyAlignment="1" applyProtection="1">
      <alignment horizontal="center" vertical="center"/>
    </xf>
    <xf numFmtId="177" fontId="0" fillId="0" borderId="10" xfId="0" applyNumberFormat="1" applyFill="1" applyBorder="1" applyAlignment="1" applyProtection="1">
      <alignment horizontal="center" vertical="center"/>
    </xf>
    <xf numFmtId="177" fontId="0" fillId="0" borderId="14" xfId="0" applyNumberFormat="1" applyFill="1" applyBorder="1" applyAlignment="1" applyProtection="1">
      <alignment horizontal="center" vertical="center"/>
    </xf>
    <xf numFmtId="176" fontId="0" fillId="0" borderId="52" xfId="0" applyNumberFormat="1" applyBorder="1" applyAlignment="1" applyProtection="1">
      <alignment horizontal="center" vertical="center"/>
    </xf>
    <xf numFmtId="176" fontId="0" fillId="0" borderId="53" xfId="0" applyNumberFormat="1" applyBorder="1" applyAlignment="1" applyProtection="1">
      <alignment horizontal="center" vertical="center"/>
    </xf>
    <xf numFmtId="176" fontId="0" fillId="0" borderId="54" xfId="0" applyNumberFormat="1" applyBorder="1" applyAlignment="1" applyProtection="1">
      <alignment horizontal="center" vertical="center"/>
    </xf>
    <xf numFmtId="176" fontId="0" fillId="0" borderId="55" xfId="0" applyNumberFormat="1" applyBorder="1" applyAlignment="1" applyProtection="1">
      <alignment horizontal="center" vertical="center"/>
    </xf>
    <xf numFmtId="176" fontId="0" fillId="0" borderId="56" xfId="0" applyNumberFormat="1" applyBorder="1" applyAlignment="1" applyProtection="1">
      <alignment horizontal="center" vertical="center"/>
    </xf>
    <xf numFmtId="177" fontId="0" fillId="0" borderId="13" xfId="0" applyNumberFormat="1" applyFill="1" applyBorder="1" applyAlignment="1" applyProtection="1">
      <alignment horizontal="center" vertical="center"/>
    </xf>
    <xf numFmtId="0" fontId="2" fillId="0" borderId="44" xfId="0" applyFont="1" applyBorder="1" applyAlignment="1" applyProtection="1">
      <alignment horizontal="center" vertical="center"/>
    </xf>
    <xf numFmtId="0" fontId="2" fillId="0" borderId="45" xfId="0" applyFont="1" applyBorder="1" applyAlignment="1" applyProtection="1">
      <alignment horizontal="center" vertical="center"/>
    </xf>
    <xf numFmtId="0" fontId="2" fillId="0" borderId="57" xfId="0" applyFont="1" applyBorder="1" applyAlignment="1" applyProtection="1">
      <alignment horizontal="center" vertical="center"/>
    </xf>
    <xf numFmtId="0" fontId="2" fillId="0" borderId="46" xfId="0" applyFont="1" applyBorder="1" applyAlignment="1" applyProtection="1">
      <alignment horizontal="center" vertical="center"/>
    </xf>
    <xf numFmtId="0" fontId="2" fillId="0" borderId="41" xfId="0" applyFont="1" applyBorder="1" applyAlignment="1" applyProtection="1">
      <alignment horizontal="center" vertical="center"/>
    </xf>
    <xf numFmtId="0" fontId="2" fillId="0" borderId="43" xfId="0" applyFont="1" applyBorder="1" applyAlignment="1" applyProtection="1">
      <alignment horizontal="center" vertical="center"/>
    </xf>
    <xf numFmtId="0" fontId="2" fillId="0" borderId="58" xfId="0" applyFont="1" applyBorder="1" applyAlignment="1" applyProtection="1">
      <alignment horizontal="center" vertical="center"/>
    </xf>
    <xf numFmtId="0" fontId="2" fillId="0" borderId="59" xfId="0" applyFont="1" applyBorder="1" applyAlignment="1" applyProtection="1">
      <alignment horizontal="center" vertical="center"/>
    </xf>
    <xf numFmtId="0" fontId="2" fillId="0" borderId="42" xfId="0" applyFont="1" applyBorder="1" applyAlignment="1" applyProtection="1">
      <alignment horizontal="center" vertical="center"/>
    </xf>
    <xf numFmtId="177" fontId="0" fillId="0" borderId="44" xfId="0" applyNumberFormat="1" applyBorder="1" applyAlignment="1" applyProtection="1">
      <alignment horizontal="center" vertical="center"/>
    </xf>
    <xf numFmtId="177" fontId="0" fillId="0" borderId="45" xfId="0" applyNumberFormat="1" applyBorder="1" applyAlignment="1" applyProtection="1">
      <alignment horizontal="center" vertical="center"/>
    </xf>
    <xf numFmtId="177" fontId="0" fillId="0" borderId="57" xfId="0" applyNumberFormat="1" applyBorder="1" applyAlignment="1" applyProtection="1">
      <alignment horizontal="center" vertical="center"/>
    </xf>
    <xf numFmtId="177" fontId="0" fillId="0" borderId="45" xfId="0" applyNumberFormat="1" applyFill="1" applyBorder="1" applyAlignment="1" applyProtection="1">
      <alignment horizontal="center" vertical="center"/>
    </xf>
    <xf numFmtId="177" fontId="0" fillId="0" borderId="46" xfId="0" applyNumberFormat="1" applyBorder="1" applyAlignment="1" applyProtection="1">
      <alignment horizontal="center" vertical="center"/>
    </xf>
    <xf numFmtId="177" fontId="0" fillId="0" borderId="41" xfId="0" applyNumberFormat="1" applyBorder="1" applyAlignment="1" applyProtection="1">
      <alignment horizontal="center" vertical="center"/>
    </xf>
    <xf numFmtId="177" fontId="0" fillId="0" borderId="43" xfId="0" applyNumberFormat="1" applyBorder="1" applyAlignment="1" applyProtection="1">
      <alignment horizontal="center" vertical="center"/>
    </xf>
    <xf numFmtId="177" fontId="0" fillId="0" borderId="43" xfId="0" applyNumberFormat="1" applyFill="1" applyBorder="1" applyAlignment="1" applyProtection="1">
      <alignment horizontal="center" vertical="center"/>
    </xf>
    <xf numFmtId="177" fontId="0" fillId="0" borderId="58" xfId="0" applyNumberFormat="1" applyFill="1" applyBorder="1" applyAlignment="1" applyProtection="1">
      <alignment horizontal="center" vertical="center"/>
    </xf>
    <xf numFmtId="177" fontId="0" fillId="0" borderId="59" xfId="0" applyNumberFormat="1" applyFill="1" applyBorder="1" applyAlignment="1" applyProtection="1">
      <alignment horizontal="center" vertical="center"/>
    </xf>
    <xf numFmtId="177" fontId="0" fillId="0" borderId="42" xfId="0" applyNumberFormat="1" applyBorder="1" applyAlignment="1" applyProtection="1">
      <alignment horizontal="center" vertical="center"/>
    </xf>
    <xf numFmtId="176" fontId="0" fillId="0" borderId="60" xfId="0" applyNumberFormat="1" applyBorder="1" applyAlignment="1" applyProtection="1">
      <alignment horizontal="center" vertical="center"/>
    </xf>
    <xf numFmtId="176" fontId="0" fillId="0" borderId="61" xfId="0" applyNumberFormat="1" applyBorder="1" applyAlignment="1" applyProtection="1">
      <alignment horizontal="center" vertical="center"/>
    </xf>
    <xf numFmtId="176" fontId="0" fillId="0" borderId="62" xfId="0" applyNumberFormat="1" applyBorder="1" applyAlignment="1" applyProtection="1">
      <alignment horizontal="center" vertical="center"/>
    </xf>
    <xf numFmtId="176" fontId="0" fillId="0" borderId="63" xfId="0" applyNumberFormat="1" applyBorder="1" applyAlignment="1" applyProtection="1">
      <alignment horizontal="center" vertical="center"/>
    </xf>
    <xf numFmtId="176" fontId="0" fillId="0" borderId="64" xfId="0" applyNumberFormat="1" applyBorder="1" applyAlignment="1" applyProtection="1">
      <alignment horizontal="center" vertical="center"/>
    </xf>
    <xf numFmtId="176" fontId="0" fillId="0" borderId="65" xfId="0" applyNumberFormat="1" applyBorder="1" applyAlignment="1" applyProtection="1">
      <alignment horizontal="center" vertical="center"/>
    </xf>
    <xf numFmtId="176" fontId="0" fillId="0" borderId="66" xfId="0" applyNumberFormat="1" applyBorder="1" applyAlignment="1" applyProtection="1">
      <alignment horizontal="center" vertical="center"/>
    </xf>
    <xf numFmtId="176" fontId="0" fillId="0" borderId="67" xfId="0" applyNumberFormat="1" applyBorder="1" applyAlignment="1" applyProtection="1">
      <alignment horizontal="center" vertical="center"/>
    </xf>
    <xf numFmtId="176" fontId="0" fillId="0" borderId="68" xfId="0" applyNumberFormat="1" applyBorder="1" applyAlignment="1" applyProtection="1">
      <alignment horizontal="center" vertical="center"/>
    </xf>
    <xf numFmtId="176" fontId="0" fillId="0" borderId="69" xfId="0" applyNumberFormat="1" applyBorder="1" applyAlignment="1" applyProtection="1">
      <alignment horizontal="center" vertical="center"/>
    </xf>
    <xf numFmtId="176" fontId="0" fillId="0" borderId="70" xfId="0" applyNumberFormat="1" applyBorder="1" applyAlignment="1" applyProtection="1">
      <alignment horizontal="center" vertical="center"/>
    </xf>
    <xf numFmtId="176" fontId="0" fillId="0" borderId="71" xfId="0" applyNumberFormat="1" applyBorder="1" applyAlignment="1" applyProtection="1">
      <alignment horizontal="center" vertical="center"/>
    </xf>
    <xf numFmtId="176" fontId="0" fillId="0" borderId="68" xfId="0" applyNumberFormat="1" applyFill="1" applyBorder="1" applyAlignment="1" applyProtection="1">
      <alignment horizontal="center" vertical="center"/>
    </xf>
    <xf numFmtId="176" fontId="0" fillId="0" borderId="72" xfId="0" applyNumberFormat="1" applyBorder="1" applyAlignment="1" applyProtection="1">
      <alignment horizontal="center" vertical="center"/>
    </xf>
    <xf numFmtId="0" fontId="10" fillId="6" borderId="0" xfId="0" applyFont="1" applyFill="1" applyAlignment="1" applyProtection="1">
      <alignment vertical="center"/>
    </xf>
    <xf numFmtId="177" fontId="11" fillId="0" borderId="71" xfId="0" applyNumberFormat="1" applyFont="1" applyBorder="1" applyProtection="1">
      <alignment vertical="center"/>
    </xf>
    <xf numFmtId="177" fontId="11" fillId="0" borderId="61" xfId="0" applyNumberFormat="1" applyFont="1" applyBorder="1" applyProtection="1">
      <alignment vertical="center"/>
    </xf>
    <xf numFmtId="177" fontId="11" fillId="0" borderId="62" xfId="0" applyNumberFormat="1" applyFont="1" applyBorder="1" applyProtection="1">
      <alignment vertical="center"/>
    </xf>
    <xf numFmtId="177" fontId="11" fillId="0" borderId="68" xfId="0" applyNumberFormat="1" applyFont="1" applyBorder="1" applyProtection="1">
      <alignment vertical="center"/>
    </xf>
    <xf numFmtId="177" fontId="11" fillId="0" borderId="20" xfId="0" applyNumberFormat="1" applyFont="1" applyBorder="1" applyProtection="1">
      <alignment vertical="center"/>
    </xf>
    <xf numFmtId="177" fontId="11" fillId="0" borderId="37" xfId="0" applyNumberFormat="1" applyFont="1" applyBorder="1" applyProtection="1">
      <alignment vertical="center"/>
    </xf>
    <xf numFmtId="177" fontId="12" fillId="0" borderId="68" xfId="0" applyNumberFormat="1" applyFont="1" applyBorder="1" applyProtection="1">
      <alignment vertical="center"/>
    </xf>
    <xf numFmtId="177" fontId="12" fillId="0" borderId="20" xfId="0" applyNumberFormat="1" applyFont="1" applyBorder="1" applyProtection="1">
      <alignment vertical="center"/>
    </xf>
    <xf numFmtId="177" fontId="12" fillId="0" borderId="37" xfId="0" applyNumberFormat="1" applyFont="1" applyBorder="1" applyProtection="1">
      <alignment vertical="center"/>
    </xf>
    <xf numFmtId="177" fontId="11" fillId="0" borderId="69" xfId="0" applyNumberFormat="1" applyFont="1" applyBorder="1" applyProtection="1">
      <alignment vertical="center"/>
    </xf>
    <xf numFmtId="177" fontId="11" fillId="0" borderId="29" xfId="0" applyNumberFormat="1" applyFont="1" applyBorder="1" applyProtection="1">
      <alignment vertical="center"/>
    </xf>
    <xf numFmtId="177" fontId="11" fillId="0" borderId="38" xfId="0" applyNumberFormat="1" applyFont="1" applyBorder="1" applyProtection="1">
      <alignment vertical="center"/>
    </xf>
    <xf numFmtId="0" fontId="3" fillId="0" borderId="0" xfId="0" applyFont="1" applyAlignment="1" applyProtection="1">
      <alignment vertical="center"/>
    </xf>
    <xf numFmtId="177" fontId="11" fillId="0" borderId="73" xfId="0" applyNumberFormat="1" applyFont="1" applyBorder="1" applyProtection="1">
      <alignment vertical="center"/>
    </xf>
    <xf numFmtId="177" fontId="11" fillId="0" borderId="26" xfId="0" applyNumberFormat="1" applyFont="1" applyBorder="1" applyProtection="1">
      <alignment vertical="center"/>
    </xf>
    <xf numFmtId="177" fontId="11" fillId="0" borderId="39" xfId="0" applyNumberFormat="1" applyFont="1" applyBorder="1" applyProtection="1">
      <alignment vertical="center"/>
    </xf>
    <xf numFmtId="0" fontId="0" fillId="0" borderId="0" xfId="0" applyAlignment="1">
      <alignment vertical="center"/>
    </xf>
    <xf numFmtId="0" fontId="7" fillId="0" borderId="0" xfId="0" applyFont="1" applyAlignment="1">
      <alignment horizontal="center" vertical="center"/>
    </xf>
    <xf numFmtId="0" fontId="2" fillId="0" borderId="0" xfId="0" applyFont="1">
      <alignment vertical="center"/>
    </xf>
    <xf numFmtId="0" fontId="13" fillId="0" borderId="0" xfId="0" applyFont="1">
      <alignment vertical="center"/>
    </xf>
    <xf numFmtId="177" fontId="14" fillId="6" borderId="0" xfId="0" applyNumberFormat="1" applyFont="1" applyFill="1" applyAlignment="1" applyProtection="1">
      <alignment vertical="center"/>
    </xf>
    <xf numFmtId="0" fontId="13" fillId="0" borderId="0" xfId="0" applyFont="1" applyAlignment="1" applyProtection="1">
      <alignment horizontal="center" vertical="center"/>
    </xf>
    <xf numFmtId="0" fontId="15" fillId="0" borderId="0" xfId="0" applyFont="1" applyBorder="1" applyProtection="1">
      <alignment vertical="center"/>
    </xf>
    <xf numFmtId="0" fontId="15" fillId="0" borderId="0" xfId="0" applyFont="1" applyProtection="1">
      <alignment vertical="center"/>
    </xf>
    <xf numFmtId="0" fontId="15" fillId="0" borderId="0" xfId="0" applyFont="1" applyAlignment="1" applyProtection="1">
      <alignment horizontal="center" vertical="center"/>
    </xf>
    <xf numFmtId="0" fontId="7" fillId="0" borderId="0" xfId="0" applyFont="1" applyAlignment="1">
      <alignment horizontal="center" vertical="center"/>
    </xf>
    <xf numFmtId="0" fontId="3" fillId="0" borderId="0" xfId="0" applyFont="1" applyAlignment="1" applyProtection="1">
      <alignment horizontal="left" vertical="center"/>
    </xf>
    <xf numFmtId="0" fontId="10" fillId="6" borderId="0" xfId="0" applyFont="1" applyFill="1" applyAlignment="1" applyProtection="1">
      <alignment horizontal="left" vertical="center"/>
    </xf>
    <xf numFmtId="0" fontId="2" fillId="0" borderId="10" xfId="0" applyFont="1" applyBorder="1" applyAlignment="1" applyProtection="1">
      <alignment horizontal="center" vertical="center"/>
    </xf>
    <xf numFmtId="0" fontId="6" fillId="0" borderId="0" xfId="0" applyFont="1" applyFill="1" applyAlignment="1" applyProtection="1">
      <alignment horizontal="center" vertical="center"/>
    </xf>
    <xf numFmtId="0" fontId="2" fillId="0" borderId="13" xfId="0" applyFont="1" applyBorder="1" applyAlignment="1" applyProtection="1">
      <alignment horizontal="right" vertical="center"/>
    </xf>
    <xf numFmtId="0" fontId="2" fillId="0" borderId="13" xfId="0" applyFont="1" applyBorder="1" applyAlignment="1" applyProtection="1">
      <alignment horizontal="center" vertical="center"/>
    </xf>
    <xf numFmtId="0" fontId="6" fillId="0" borderId="0" xfId="0" applyFont="1" applyAlignment="1" applyProtection="1">
      <alignment horizontal="center" vertical="center"/>
    </xf>
    <xf numFmtId="0" fontId="2" fillId="0" borderId="10" xfId="0" applyFont="1" applyBorder="1" applyAlignment="1">
      <alignment horizontal="center" vertical="center"/>
    </xf>
  </cellXfs>
  <cellStyles count="2">
    <cellStyle name="百分比" xfId="1" builtinId="5"/>
    <cellStyle name="常规" xfId="0" builtinId="0"/>
  </cellStyles>
  <dxfs count="18">
    <dxf>
      <font>
        <b/>
        <i val="0"/>
      </font>
      <fill>
        <patternFill>
          <bgColor theme="7" tint="0.79998168889431442"/>
        </patternFill>
      </fill>
    </dxf>
    <dxf>
      <fill>
        <patternFill>
          <bgColor theme="9" tint="0.59996337778862885"/>
        </patternFill>
      </fill>
    </dxf>
    <dxf>
      <fill>
        <patternFill>
          <bgColor rgb="FF92D050"/>
        </patternFill>
      </fill>
    </dxf>
    <dxf>
      <font>
        <color rgb="FF006100"/>
      </font>
      <fill>
        <patternFill>
          <bgColor rgb="FFC6EFCE"/>
        </patternFill>
      </fill>
    </dxf>
    <dxf>
      <fill>
        <patternFill>
          <bgColor theme="0" tint="-4.9989318521683403E-2"/>
        </patternFill>
      </fill>
    </dxf>
    <dxf>
      <font>
        <b/>
        <i val="0"/>
      </font>
      <fill>
        <patternFill>
          <bgColor theme="7" tint="0.79998168889431442"/>
        </patternFill>
      </fill>
    </dxf>
    <dxf>
      <fill>
        <patternFill>
          <bgColor theme="9" tint="0.59996337778862885"/>
        </patternFill>
      </fill>
    </dxf>
    <dxf>
      <fill>
        <patternFill>
          <bgColor rgb="FF92D050"/>
        </patternFill>
      </fill>
    </dxf>
    <dxf>
      <font>
        <color rgb="FF006100"/>
      </font>
      <fill>
        <patternFill>
          <bgColor rgb="FFC6EFCE"/>
        </patternFill>
      </fill>
    </dxf>
    <dxf>
      <fill>
        <patternFill>
          <bgColor theme="0" tint="-4.9989318521683403E-2"/>
        </patternFill>
      </fill>
    </dxf>
    <dxf>
      <font>
        <b/>
        <i val="0"/>
      </font>
      <fill>
        <patternFill>
          <bgColor theme="7" tint="0.79998168889431442"/>
        </patternFill>
      </fill>
    </dxf>
    <dxf>
      <fill>
        <patternFill>
          <bgColor theme="9" tint="0.59996337778862885"/>
        </patternFill>
      </fill>
    </dxf>
    <dxf>
      <font>
        <color rgb="FF006100"/>
      </font>
      <fill>
        <patternFill>
          <bgColor rgb="FFC6EFCE"/>
        </patternFill>
      </fill>
    </dxf>
    <dxf>
      <fill>
        <patternFill>
          <bgColor theme="0" tint="-4.9989318521683403E-2"/>
        </patternFill>
      </fill>
    </dxf>
    <dxf>
      <fill>
        <patternFill>
          <bgColor rgb="FF92D050"/>
        </patternFill>
      </fill>
    </dxf>
    <dxf>
      <fill>
        <patternFill>
          <bgColor rgb="FF92D050"/>
        </patternFill>
      </fill>
    </dxf>
    <dxf>
      <font>
        <color rgb="FF006100"/>
      </font>
      <fill>
        <patternFill>
          <bgColor rgb="FFC6EFCE"/>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_rels/drawing3.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_rels/drawing4.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drawing1.xml><?xml version="1.0" encoding="utf-8"?>
<xdr:wsDr xmlns:xdr="http://schemas.openxmlformats.org/drawingml/2006/spreadsheetDrawing" xmlns:a="http://schemas.openxmlformats.org/drawingml/2006/main">
  <xdr:twoCellAnchor>
    <xdr:from>
      <xdr:col>1</xdr:col>
      <xdr:colOff>114299</xdr:colOff>
      <xdr:row>15</xdr:row>
      <xdr:rowOff>142873</xdr:rowOff>
    </xdr:from>
    <xdr:to>
      <xdr:col>25</xdr:col>
      <xdr:colOff>179840</xdr:colOff>
      <xdr:row>24</xdr:row>
      <xdr:rowOff>180700</xdr:rowOff>
    </xdr:to>
    <xdr:grpSp>
      <xdr:nvGrpSpPr>
        <xdr:cNvPr id="19" name="组合 18">
          <a:extLst>
            <a:ext uri="{FF2B5EF4-FFF2-40B4-BE49-F238E27FC236}">
              <a16:creationId xmlns:a16="http://schemas.microsoft.com/office/drawing/2014/main" id="{FB196C4B-01FC-4014-B929-FD700629B8C2}"/>
            </a:ext>
          </a:extLst>
        </xdr:cNvPr>
        <xdr:cNvGrpSpPr/>
      </xdr:nvGrpSpPr>
      <xdr:grpSpPr>
        <a:xfrm>
          <a:off x="296516" y="3679547"/>
          <a:ext cx="8977628" cy="1644653"/>
          <a:chOff x="803030" y="3505931"/>
          <a:chExt cx="8989733" cy="1657077"/>
        </a:xfrm>
      </xdr:grpSpPr>
      <xdr:grpSp>
        <xdr:nvGrpSpPr>
          <xdr:cNvPr id="13" name="组合 12">
            <a:extLst>
              <a:ext uri="{FF2B5EF4-FFF2-40B4-BE49-F238E27FC236}">
                <a16:creationId xmlns:a16="http://schemas.microsoft.com/office/drawing/2014/main" id="{AE6AA4F3-9DE9-429D-A4AB-A079EFEC40AA}"/>
              </a:ext>
            </a:extLst>
          </xdr:cNvPr>
          <xdr:cNvGrpSpPr/>
        </xdr:nvGrpSpPr>
        <xdr:grpSpPr>
          <a:xfrm>
            <a:off x="803030" y="3505931"/>
            <a:ext cx="8989733" cy="1657077"/>
            <a:chOff x="800099" y="3486150"/>
            <a:chExt cx="8961694" cy="1665866"/>
          </a:xfrm>
        </xdr:grpSpPr>
        <xdr:pic>
          <xdr:nvPicPr>
            <xdr:cNvPr id="3" name="图片 2">
              <a:extLst>
                <a:ext uri="{FF2B5EF4-FFF2-40B4-BE49-F238E27FC236}">
                  <a16:creationId xmlns:a16="http://schemas.microsoft.com/office/drawing/2014/main" id="{D4309889-95AF-4D6B-B205-C6A303338E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53424"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图片 4">
              <a:extLst>
                <a:ext uri="{FF2B5EF4-FFF2-40B4-BE49-F238E27FC236}">
                  <a16:creationId xmlns:a16="http://schemas.microsoft.com/office/drawing/2014/main" id="{417A9E28-C140-41E2-AAFE-3402FB4AEDB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099"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图片 6">
              <a:extLst>
                <a:ext uri="{FF2B5EF4-FFF2-40B4-BE49-F238E27FC236}">
                  <a16:creationId xmlns:a16="http://schemas.microsoft.com/office/drawing/2014/main" id="{DCFF6BFC-E0C5-4472-A9ED-EC0CB26469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88431"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1" name="图片 10">
              <a:extLst>
                <a:ext uri="{FF2B5EF4-FFF2-40B4-BE49-F238E27FC236}">
                  <a16:creationId xmlns:a16="http://schemas.microsoft.com/office/drawing/2014/main" id="{36BCBC4A-64B7-4116-8C58-BD397CFDF77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76763"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 name="图片 11">
              <a:extLst>
                <a:ext uri="{FF2B5EF4-FFF2-40B4-BE49-F238E27FC236}">
                  <a16:creationId xmlns:a16="http://schemas.microsoft.com/office/drawing/2014/main" id="{F65EC08C-B794-4D85-B8C6-DE20341D9A6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465095"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grpSp>
      <xdr:cxnSp macro="">
        <xdr:nvCxnSpPr>
          <xdr:cNvPr id="15" name="直接箭头连接符 14">
            <a:extLst>
              <a:ext uri="{FF2B5EF4-FFF2-40B4-BE49-F238E27FC236}">
                <a16:creationId xmlns:a16="http://schemas.microsoft.com/office/drawing/2014/main" id="{1BF8956F-C967-47A4-8D25-30F931D3E419}"/>
              </a:ext>
            </a:extLst>
          </xdr:cNvPr>
          <xdr:cNvCxnSpPr/>
        </xdr:nvCxnSpPr>
        <xdr:spPr>
          <a:xfrm flipV="1">
            <a:off x="2300654" y="4337539"/>
            <a:ext cx="396000" cy="0"/>
          </a:xfrm>
          <a:prstGeom prst="straightConnector1">
            <a:avLst/>
          </a:prstGeom>
          <a:ln w="57150">
            <a:solidFill>
              <a:schemeClr val="bg1">
                <a:lumMod val="65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接箭头连接符 15">
            <a:extLst>
              <a:ext uri="{FF2B5EF4-FFF2-40B4-BE49-F238E27FC236}">
                <a16:creationId xmlns:a16="http://schemas.microsoft.com/office/drawing/2014/main" id="{AE75688B-C2DC-4A4A-860C-54A6CBEB73E4}"/>
              </a:ext>
            </a:extLst>
          </xdr:cNvPr>
          <xdr:cNvCxnSpPr/>
        </xdr:nvCxnSpPr>
        <xdr:spPr>
          <a:xfrm flipV="1">
            <a:off x="4209562" y="4337539"/>
            <a:ext cx="396000" cy="0"/>
          </a:xfrm>
          <a:prstGeom prst="straightConnector1">
            <a:avLst/>
          </a:prstGeom>
          <a:ln w="57150">
            <a:solidFill>
              <a:schemeClr val="tx1">
                <a:lumMod val="50000"/>
                <a:lumOff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接箭头连接符 16">
            <a:extLst>
              <a:ext uri="{FF2B5EF4-FFF2-40B4-BE49-F238E27FC236}">
                <a16:creationId xmlns:a16="http://schemas.microsoft.com/office/drawing/2014/main" id="{E0F76DCE-009B-4498-87B2-62FBEA53DB23}"/>
              </a:ext>
            </a:extLst>
          </xdr:cNvPr>
          <xdr:cNvCxnSpPr/>
        </xdr:nvCxnSpPr>
        <xdr:spPr>
          <a:xfrm flipV="1">
            <a:off x="6118470" y="4337539"/>
            <a:ext cx="396000" cy="0"/>
          </a:xfrm>
          <a:prstGeom prst="straightConnector1">
            <a:avLst/>
          </a:prstGeom>
          <a:ln w="57150">
            <a:solidFill>
              <a:schemeClr val="tx1">
                <a:lumMod val="65000"/>
                <a:lumOff val="35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 name="直接箭头连接符 17">
            <a:extLst>
              <a:ext uri="{FF2B5EF4-FFF2-40B4-BE49-F238E27FC236}">
                <a16:creationId xmlns:a16="http://schemas.microsoft.com/office/drawing/2014/main" id="{19011F97-1652-457D-B49D-85061A01492A}"/>
              </a:ext>
            </a:extLst>
          </xdr:cNvPr>
          <xdr:cNvCxnSpPr/>
        </xdr:nvCxnSpPr>
        <xdr:spPr>
          <a:xfrm flipV="1">
            <a:off x="8027378" y="4337539"/>
            <a:ext cx="396000" cy="0"/>
          </a:xfrm>
          <a:prstGeom prst="straightConnector1">
            <a:avLst/>
          </a:prstGeom>
          <a:ln w="5715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26</xdr:row>
      <xdr:rowOff>76200</xdr:rowOff>
    </xdr:from>
    <xdr:to>
      <xdr:col>13</xdr:col>
      <xdr:colOff>371475</xdr:colOff>
      <xdr:row>31</xdr:row>
      <xdr:rowOff>47625</xdr:rowOff>
    </xdr:to>
    <xdr:sp macro="[0]!Generator_Click" textlink="">
      <xdr:nvSpPr>
        <xdr:cNvPr id="3" name="矩形 2">
          <a:extLst>
            <a:ext uri="{FF2B5EF4-FFF2-40B4-BE49-F238E27FC236}">
              <a16:creationId xmlns:a16="http://schemas.microsoft.com/office/drawing/2014/main" id="{124C202A-0357-4C3D-BD10-370B23B7D512}"/>
            </a:ext>
          </a:extLst>
        </xdr:cNvPr>
        <xdr:cNvSpPr/>
      </xdr:nvSpPr>
      <xdr:spPr>
        <a:xfrm>
          <a:off x="2209800" y="6267450"/>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7" name="组合 6">
          <a:extLst>
            <a:ext uri="{FF2B5EF4-FFF2-40B4-BE49-F238E27FC236}">
              <a16:creationId xmlns:a16="http://schemas.microsoft.com/office/drawing/2014/main" id="{1C972524-3C78-4813-806C-1BD74C5E41A0}"/>
            </a:ext>
          </a:extLst>
        </xdr:cNvPr>
        <xdr:cNvGrpSpPr/>
      </xdr:nvGrpSpPr>
      <xdr:grpSpPr>
        <a:xfrm>
          <a:off x="1095375" y="668946"/>
          <a:ext cx="2847975" cy="295275"/>
          <a:chOff x="1085850" y="390525"/>
          <a:chExt cx="2847975" cy="333375"/>
        </a:xfrm>
      </xdr:grpSpPr>
      <xdr:sp macro="" textlink="">
        <xdr:nvSpPr>
          <xdr:cNvPr id="2" name="矩形: 圆顶角 1">
            <a:hlinkClick xmlns:r="http://schemas.openxmlformats.org/officeDocument/2006/relationships" r:id="rId1"/>
            <a:extLst>
              <a:ext uri="{FF2B5EF4-FFF2-40B4-BE49-F238E27FC236}">
                <a16:creationId xmlns:a16="http://schemas.microsoft.com/office/drawing/2014/main" id="{13F6074A-ABAA-4E2C-B0FC-721302FA9CBE}"/>
              </a:ext>
            </a:extLst>
          </xdr:cNvPr>
          <xdr:cNvSpPr/>
        </xdr:nvSpPr>
        <xdr:spPr>
          <a:xfrm>
            <a:off x="1085850" y="390525"/>
            <a:ext cx="781050" cy="333375"/>
          </a:xfrm>
          <a:prstGeom prst="round2Same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1F411858-A3A7-47ED-B105-1C1046DB3A3B}"/>
              </a:ext>
            </a:extLst>
          </xdr:cNvPr>
          <xdr:cNvSpPr/>
        </xdr:nvSpPr>
        <xdr:spPr>
          <a:xfrm>
            <a:off x="2119312"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6343AD44-BDDA-470B-8725-247B1247D9BF}"/>
              </a:ext>
            </a:extLst>
          </xdr:cNvPr>
          <xdr:cNvSpPr/>
        </xdr:nvSpPr>
        <xdr:spPr>
          <a:xfrm>
            <a:off x="3152775"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9525</xdr:colOff>
      <xdr:row>28</xdr:row>
      <xdr:rowOff>66675</xdr:rowOff>
    </xdr:from>
    <xdr:to>
      <xdr:col>15</xdr:col>
      <xdr:colOff>0</xdr:colOff>
      <xdr:row>34</xdr:row>
      <xdr:rowOff>28575</xdr:rowOff>
    </xdr:to>
    <xdr:sp macro="[0]!Generator_Click" textlink="">
      <xdr:nvSpPr>
        <xdr:cNvPr id="2" name="矩形 1">
          <a:extLst>
            <a:ext uri="{FF2B5EF4-FFF2-40B4-BE49-F238E27FC236}">
              <a16:creationId xmlns:a16="http://schemas.microsoft.com/office/drawing/2014/main" id="{C8D63226-8DCD-4FAF-A878-61D9E1029D85}"/>
            </a:ext>
          </a:extLst>
        </xdr:cNvPr>
        <xdr:cNvSpPr/>
      </xdr:nvSpPr>
      <xdr:spPr>
        <a:xfrm>
          <a:off x="2600325" y="7019925"/>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3" name="组合 2">
          <a:extLst>
            <a:ext uri="{FF2B5EF4-FFF2-40B4-BE49-F238E27FC236}">
              <a16:creationId xmlns:a16="http://schemas.microsoft.com/office/drawing/2014/main" id="{E07FB844-A0D1-4527-9361-8D24BBEC694E}"/>
            </a:ext>
          </a:extLst>
        </xdr:cNvPr>
        <xdr:cNvGrpSpPr/>
      </xdr:nvGrpSpPr>
      <xdr:grpSpPr>
        <a:xfrm>
          <a:off x="1095375" y="668946"/>
          <a:ext cx="2847975" cy="295275"/>
          <a:chOff x="1085850" y="390525"/>
          <a:chExt cx="2847975" cy="333375"/>
        </a:xfrm>
      </xdr:grpSpPr>
      <xdr:sp macro="" textlink="">
        <xdr:nvSpPr>
          <xdr:cNvPr id="4" name="矩形: 圆顶角 3">
            <a:hlinkClick xmlns:r="http://schemas.openxmlformats.org/officeDocument/2006/relationships" r:id="rId1"/>
            <a:extLst>
              <a:ext uri="{FF2B5EF4-FFF2-40B4-BE49-F238E27FC236}">
                <a16:creationId xmlns:a16="http://schemas.microsoft.com/office/drawing/2014/main" id="{6F6FC12E-BA3C-408D-9123-CF8C475D0F4D}"/>
              </a:ext>
            </a:extLst>
          </xdr:cNvPr>
          <xdr:cNvSpPr/>
        </xdr:nvSpPr>
        <xdr:spPr>
          <a:xfrm>
            <a:off x="1085850"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13A84D08-84C1-4A9E-8F34-0E15E0DBE0F5}"/>
              </a:ext>
            </a:extLst>
          </xdr:cNvPr>
          <xdr:cNvSpPr/>
        </xdr:nvSpPr>
        <xdr:spPr>
          <a:xfrm>
            <a:off x="2119312" y="390525"/>
            <a:ext cx="781050" cy="333375"/>
          </a:xfrm>
          <a:prstGeom prst="round2Same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B65305F2-14AB-492B-9DE0-E5888E6984E8}"/>
              </a:ext>
            </a:extLst>
          </xdr:cNvPr>
          <xdr:cNvSpPr/>
        </xdr:nvSpPr>
        <xdr:spPr>
          <a:xfrm>
            <a:off x="3152775"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190500</xdr:colOff>
      <xdr:row>33</xdr:row>
      <xdr:rowOff>28575</xdr:rowOff>
    </xdr:from>
    <xdr:to>
      <xdr:col>17</xdr:col>
      <xdr:colOff>180975</xdr:colOff>
      <xdr:row>38</xdr:row>
      <xdr:rowOff>85725</xdr:rowOff>
    </xdr:to>
    <xdr:sp macro="[0]!Generator_Click" textlink="">
      <xdr:nvSpPr>
        <xdr:cNvPr id="2" name="矩形 1">
          <a:extLst>
            <a:ext uri="{FF2B5EF4-FFF2-40B4-BE49-F238E27FC236}">
              <a16:creationId xmlns:a16="http://schemas.microsoft.com/office/drawing/2014/main" id="{3CB1523B-70FB-46C5-91F6-077C8C4316ED}"/>
            </a:ext>
          </a:extLst>
        </xdr:cNvPr>
        <xdr:cNvSpPr/>
      </xdr:nvSpPr>
      <xdr:spPr>
        <a:xfrm>
          <a:off x="3543300" y="8886825"/>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3" name="组合 2">
          <a:extLst>
            <a:ext uri="{FF2B5EF4-FFF2-40B4-BE49-F238E27FC236}">
              <a16:creationId xmlns:a16="http://schemas.microsoft.com/office/drawing/2014/main" id="{A5E66500-0E92-4F11-8A7D-D6248CFFC9EF}"/>
            </a:ext>
          </a:extLst>
        </xdr:cNvPr>
        <xdr:cNvGrpSpPr/>
      </xdr:nvGrpSpPr>
      <xdr:grpSpPr>
        <a:xfrm>
          <a:off x="1095375" y="668946"/>
          <a:ext cx="2847975" cy="295275"/>
          <a:chOff x="1085850" y="390525"/>
          <a:chExt cx="2847975" cy="333375"/>
        </a:xfrm>
      </xdr:grpSpPr>
      <xdr:sp macro="" textlink="">
        <xdr:nvSpPr>
          <xdr:cNvPr id="4" name="矩形: 圆顶角 3">
            <a:hlinkClick xmlns:r="http://schemas.openxmlformats.org/officeDocument/2006/relationships" r:id="rId1"/>
            <a:extLst>
              <a:ext uri="{FF2B5EF4-FFF2-40B4-BE49-F238E27FC236}">
                <a16:creationId xmlns:a16="http://schemas.microsoft.com/office/drawing/2014/main" id="{793F57FC-AC69-4202-9B5C-96CE4A2B4856}"/>
              </a:ext>
            </a:extLst>
          </xdr:cNvPr>
          <xdr:cNvSpPr/>
        </xdr:nvSpPr>
        <xdr:spPr>
          <a:xfrm>
            <a:off x="1085850"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ABF54E3A-6D61-4C79-AAF3-B2B66E8779E6}"/>
              </a:ext>
            </a:extLst>
          </xdr:cNvPr>
          <xdr:cNvSpPr/>
        </xdr:nvSpPr>
        <xdr:spPr>
          <a:xfrm>
            <a:off x="2119312"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FC412349-E1F0-4FC8-B6D6-BCA7FFB94DDE}"/>
              </a:ext>
            </a:extLst>
          </xdr:cNvPr>
          <xdr:cNvSpPr/>
        </xdr:nvSpPr>
        <xdr:spPr>
          <a:xfrm>
            <a:off x="3152775" y="390525"/>
            <a:ext cx="781050" cy="333375"/>
          </a:xfrm>
          <a:prstGeom prst="round2SameRect">
            <a:avLst/>
          </a:prstGeom>
          <a:solidFill>
            <a:schemeClr val="accent4">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F4C63-BBD7-4BA3-8870-0E4FF8B6A4AF}">
  <sheetPr codeName="Sheet1"/>
  <dimension ref="A3:Z16"/>
  <sheetViews>
    <sheetView showGridLines="0" zoomScale="115" zoomScaleNormal="115" workbookViewId="0"/>
  </sheetViews>
  <sheetFormatPr defaultRowHeight="14.25" x14ac:dyDescent="0.2"/>
  <cols>
    <col min="1" max="3" width="2.375" customWidth="1"/>
    <col min="4" max="7" width="5" customWidth="1"/>
    <col min="10" max="13" width="5" customWidth="1"/>
    <col min="14" max="14" width="0" hidden="1" customWidth="1"/>
    <col min="15" max="18" width="5" hidden="1" customWidth="1"/>
    <col min="19" max="19" width="0" hidden="1" customWidth="1"/>
  </cols>
  <sheetData>
    <row r="3" spans="1:26" x14ac:dyDescent="0.2">
      <c r="D3" s="124" t="s">
        <v>7</v>
      </c>
      <c r="J3" s="124" t="s">
        <v>9</v>
      </c>
    </row>
    <row r="4" spans="1:26" x14ac:dyDescent="0.2">
      <c r="B4" s="106"/>
      <c r="C4" s="106"/>
      <c r="D4" s="107"/>
      <c r="E4" s="107"/>
      <c r="F4" s="107"/>
      <c r="G4" s="107">
        <v>1</v>
      </c>
      <c r="J4" s="125" t="s">
        <v>6</v>
      </c>
      <c r="M4" s="125" t="s">
        <v>5</v>
      </c>
    </row>
    <row r="5" spans="1:26" ht="15" thickBot="1" x14ac:dyDescent="0.25">
      <c r="B5" s="106"/>
      <c r="C5" s="106"/>
      <c r="D5" s="107">
        <v>2</v>
      </c>
      <c r="E5" s="107">
        <v>3</v>
      </c>
      <c r="F5" s="107">
        <v>2</v>
      </c>
      <c r="G5" s="107">
        <v>2</v>
      </c>
    </row>
    <row r="6" spans="1:26" s="18" customFormat="1" ht="30" customHeight="1" x14ac:dyDescent="0.2">
      <c r="A6" s="63"/>
      <c r="B6" s="63"/>
      <c r="C6" s="63">
        <v>1</v>
      </c>
      <c r="D6" s="19" t="s">
        <v>16</v>
      </c>
      <c r="E6" s="20" t="s">
        <v>16</v>
      </c>
      <c r="F6" s="20" t="s">
        <v>16</v>
      </c>
      <c r="G6" s="23">
        <v>1</v>
      </c>
      <c r="J6" s="97" t="s">
        <v>0</v>
      </c>
      <c r="K6" s="98" t="s">
        <v>0</v>
      </c>
      <c r="L6" s="98" t="s">
        <v>0</v>
      </c>
      <c r="M6" s="99">
        <v>1</v>
      </c>
      <c r="O6" s="24" t="b">
        <f t="shared" ref="O6:R9" si="0">D6=J6</f>
        <v>1</v>
      </c>
      <c r="P6" s="25" t="b">
        <f t="shared" si="0"/>
        <v>1</v>
      </c>
      <c r="Q6" s="25" t="b">
        <f t="shared" si="0"/>
        <v>1</v>
      </c>
      <c r="R6" s="27" t="b">
        <f t="shared" si="0"/>
        <v>1</v>
      </c>
    </row>
    <row r="7" spans="1:26" s="18" customFormat="1" ht="30" customHeight="1" x14ac:dyDescent="0.2">
      <c r="A7" s="63"/>
      <c r="B7" s="63"/>
      <c r="C7" s="63">
        <v>2</v>
      </c>
      <c r="D7" s="28" t="s">
        <v>16</v>
      </c>
      <c r="E7" s="29">
        <v>1</v>
      </c>
      <c r="F7" s="29">
        <v>1</v>
      </c>
      <c r="G7" s="32" t="s">
        <v>16</v>
      </c>
      <c r="J7" s="100" t="s">
        <v>0</v>
      </c>
      <c r="K7" s="101">
        <v>1</v>
      </c>
      <c r="L7" s="101">
        <v>1</v>
      </c>
      <c r="M7" s="102" t="s">
        <v>0</v>
      </c>
      <c r="O7" s="33" t="b">
        <f t="shared" si="0"/>
        <v>1</v>
      </c>
      <c r="P7" s="34" t="b">
        <f t="shared" si="0"/>
        <v>1</v>
      </c>
      <c r="Q7" s="34" t="b">
        <f t="shared" si="0"/>
        <v>1</v>
      </c>
      <c r="R7" s="36" t="b">
        <f t="shared" si="0"/>
        <v>1</v>
      </c>
    </row>
    <row r="8" spans="1:26" s="18" customFormat="1" ht="30" customHeight="1" x14ac:dyDescent="0.2">
      <c r="A8" s="63"/>
      <c r="B8" s="63"/>
      <c r="C8" s="63">
        <v>4</v>
      </c>
      <c r="D8" s="28">
        <v>1</v>
      </c>
      <c r="E8" s="29">
        <v>1</v>
      </c>
      <c r="F8" s="29">
        <v>1</v>
      </c>
      <c r="G8" s="32">
        <v>1</v>
      </c>
      <c r="J8" s="100">
        <v>1</v>
      </c>
      <c r="K8" s="101">
        <v>1</v>
      </c>
      <c r="L8" s="101">
        <v>1</v>
      </c>
      <c r="M8" s="102">
        <v>1</v>
      </c>
      <c r="O8" s="33" t="b">
        <f t="shared" si="0"/>
        <v>1</v>
      </c>
      <c r="P8" s="34" t="b">
        <f t="shared" si="0"/>
        <v>1</v>
      </c>
      <c r="Q8" s="34" t="b">
        <f t="shared" si="0"/>
        <v>1</v>
      </c>
      <c r="R8" s="36" t="b">
        <f t="shared" si="0"/>
        <v>1</v>
      </c>
    </row>
    <row r="9" spans="1:26" s="18" customFormat="1" ht="30" customHeight="1" thickBot="1" x14ac:dyDescent="0.25">
      <c r="A9" s="63"/>
      <c r="B9" s="63">
        <v>2</v>
      </c>
      <c r="C9" s="63">
        <v>1</v>
      </c>
      <c r="D9" s="53">
        <v>1</v>
      </c>
      <c r="E9" s="54">
        <v>1</v>
      </c>
      <c r="F9" s="54" t="s">
        <v>16</v>
      </c>
      <c r="G9" s="57">
        <v>1</v>
      </c>
      <c r="J9" s="103">
        <v>1</v>
      </c>
      <c r="K9" s="104">
        <v>1</v>
      </c>
      <c r="L9" s="104" t="s">
        <v>0</v>
      </c>
      <c r="M9" s="105">
        <v>1</v>
      </c>
      <c r="O9" s="58" t="b">
        <f t="shared" si="0"/>
        <v>1</v>
      </c>
      <c r="P9" s="59" t="b">
        <f t="shared" si="0"/>
        <v>1</v>
      </c>
      <c r="Q9" s="59" t="b">
        <f t="shared" si="0"/>
        <v>1</v>
      </c>
      <c r="R9" s="61" t="b">
        <f t="shared" si="0"/>
        <v>1</v>
      </c>
    </row>
    <row r="11" spans="1:26" x14ac:dyDescent="0.2">
      <c r="E11" s="204" t="str">
        <f>IF(COUNTIF(O6:R9, TRUE)=16,"PASS", "")</f>
        <v>PASS</v>
      </c>
      <c r="F11" s="204"/>
    </row>
    <row r="12" spans="1:26" x14ac:dyDescent="0.2">
      <c r="D12" s="197" t="s">
        <v>14</v>
      </c>
      <c r="E12" s="196"/>
      <c r="F12" s="196"/>
    </row>
    <row r="13" spans="1:26" x14ac:dyDescent="0.2">
      <c r="D13" s="198" t="s">
        <v>15</v>
      </c>
    </row>
    <row r="14" spans="1:26" x14ac:dyDescent="0.2">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x14ac:dyDescent="0.2">
      <c r="D15" s="124" t="s">
        <v>8</v>
      </c>
    </row>
    <row r="16" spans="1:26" s="125" customFormat="1" ht="12" x14ac:dyDescent="0.2">
      <c r="I16" s="125" t="s">
        <v>10</v>
      </c>
      <c r="M16" s="125" t="s">
        <v>11</v>
      </c>
      <c r="V16" s="125" t="s">
        <v>10</v>
      </c>
    </row>
  </sheetData>
  <protectedRanges>
    <protectedRange algorithmName="SHA-512" hashValue="XHcNPv0VSwoYaJCeQtj2WDRv6t/4vn8mp7CeCxABhfSdrkP3pgF4oalhajN1y61O+rP5eN4hX4XqXpaQ1cd8kQ==" saltValue="PoK8t2FxuVIrzwMr5EtXiQ==" spinCount="100000" sqref="D6:G9" name="区域1_4"/>
  </protectedRanges>
  <mergeCells count="1">
    <mergeCell ref="E11:F11"/>
  </mergeCells>
  <phoneticPr fontId="1" type="noConversion"/>
  <conditionalFormatting sqref="D6:G9">
    <cfRule type="cellIs" dxfId="17" priority="1" operator="equal">
      <formula>"x"</formula>
    </cfRule>
    <cfRule type="cellIs" dxfId="16" priority="2" operator="equal">
      <formula>1</formula>
    </cfRule>
  </conditionalFormatting>
  <conditionalFormatting sqref="J6:M9">
    <cfRule type="expression" dxfId="15" priority="5">
      <formula>D6=J6</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88B8E-6605-401B-9048-D6CEC8A3966D}">
  <sheetPr codeName="Sheet3"/>
  <dimension ref="A1:AU54"/>
  <sheetViews>
    <sheetView showGridLines="0" tabSelected="1" zoomScaleNormal="100" workbookViewId="0">
      <selection sqref="A1:P3"/>
    </sheetView>
  </sheetViews>
  <sheetFormatPr defaultRowHeight="14.25" x14ac:dyDescent="0.2"/>
  <cols>
    <col min="1" max="8" width="2.375" style="18" customWidth="1"/>
    <col min="9" max="16" width="5" style="18" customWidth="1"/>
    <col min="17" max="17" width="9" style="18"/>
    <col min="18" max="18" width="2.375" style="18" customWidth="1"/>
    <col min="19" max="26" width="1.25" style="18" customWidth="1"/>
    <col min="27" max="28" width="9" style="18"/>
    <col min="29" max="29" width="9" style="18" hidden="1" customWidth="1"/>
    <col min="30" max="37" width="5" style="18" hidden="1" customWidth="1"/>
    <col min="38" max="38" width="9" style="18" hidden="1" customWidth="1"/>
    <col min="39" max="46" width="5" style="18" hidden="1" customWidth="1"/>
    <col min="47" max="47" width="9" style="18" hidden="1" customWidth="1"/>
    <col min="48" max="16384" width="9" style="18"/>
  </cols>
  <sheetData>
    <row r="1" spans="1:46" s="128" customFormat="1" ht="14.25" customHeight="1" x14ac:dyDescent="0.2">
      <c r="A1" s="206" t="s">
        <v>12</v>
      </c>
      <c r="B1" s="206"/>
      <c r="C1" s="206"/>
      <c r="D1" s="206"/>
      <c r="E1" s="206"/>
      <c r="F1" s="206"/>
      <c r="G1" s="206"/>
      <c r="H1" s="206"/>
      <c r="I1" s="206"/>
      <c r="J1" s="206"/>
      <c r="K1" s="206"/>
      <c r="L1" s="206"/>
      <c r="M1" s="206"/>
      <c r="N1" s="206"/>
      <c r="O1" s="206"/>
      <c r="P1" s="206"/>
      <c r="Q1" s="199" t="s">
        <v>17</v>
      </c>
      <c r="R1" s="129"/>
      <c r="S1" s="129"/>
      <c r="T1" s="129"/>
      <c r="U1" s="129"/>
      <c r="V1" s="129"/>
      <c r="W1" s="129"/>
      <c r="X1" s="129"/>
      <c r="Y1" s="129"/>
      <c r="Z1" s="129"/>
      <c r="AA1" s="129"/>
      <c r="AB1" s="129"/>
    </row>
    <row r="2" spans="1:46" s="128" customFormat="1" ht="14.25" customHeight="1" x14ac:dyDescent="0.2">
      <c r="A2" s="206"/>
      <c r="B2" s="206"/>
      <c r="C2" s="206"/>
      <c r="D2" s="206"/>
      <c r="E2" s="206"/>
      <c r="F2" s="206"/>
      <c r="G2" s="206"/>
      <c r="H2" s="206"/>
      <c r="I2" s="206"/>
      <c r="J2" s="206"/>
      <c r="K2" s="206"/>
      <c r="L2" s="206"/>
      <c r="M2" s="206"/>
      <c r="N2" s="206"/>
      <c r="O2" s="206"/>
      <c r="P2" s="206"/>
      <c r="Q2" s="129"/>
      <c r="R2" s="129"/>
      <c r="S2" s="129"/>
      <c r="T2" s="129"/>
      <c r="U2" s="129"/>
      <c r="V2" s="129"/>
      <c r="W2" s="129"/>
      <c r="X2" s="129"/>
      <c r="Y2" s="129"/>
      <c r="Z2" s="129"/>
      <c r="AA2" s="129"/>
      <c r="AB2" s="129"/>
    </row>
    <row r="3" spans="1:46" s="128" customFormat="1" ht="14.25" customHeight="1" x14ac:dyDescent="0.2">
      <c r="A3" s="206"/>
      <c r="B3" s="206"/>
      <c r="C3" s="206"/>
      <c r="D3" s="206"/>
      <c r="E3" s="206"/>
      <c r="F3" s="206"/>
      <c r="G3" s="206"/>
      <c r="H3" s="206"/>
      <c r="I3" s="206"/>
      <c r="J3" s="206"/>
      <c r="K3" s="206"/>
      <c r="L3" s="206"/>
      <c r="M3" s="206"/>
      <c r="N3" s="206"/>
      <c r="O3" s="206"/>
      <c r="P3" s="206"/>
      <c r="Q3" s="129"/>
      <c r="R3" s="129"/>
      <c r="S3" s="129"/>
      <c r="T3" s="129"/>
      <c r="U3" s="129"/>
      <c r="V3" s="129"/>
      <c r="W3" s="129"/>
      <c r="X3" s="129"/>
      <c r="Y3" s="129"/>
      <c r="Z3" s="129"/>
      <c r="AA3" s="129"/>
      <c r="AB3" s="129"/>
    </row>
    <row r="4" spans="1:46" s="128" customFormat="1" ht="32.25" customHeight="1" x14ac:dyDescent="0.2"/>
    <row r="5" spans="1:46" s="127" customFormat="1" x14ac:dyDescent="0.2">
      <c r="I5" s="201"/>
      <c r="J5" s="201"/>
      <c r="K5" s="201"/>
      <c r="L5" s="201"/>
      <c r="M5" s="201"/>
      <c r="N5" s="201"/>
      <c r="O5" s="201"/>
      <c r="P5" s="201"/>
    </row>
    <row r="6" spans="1:46" x14ac:dyDescent="0.2">
      <c r="I6" s="202"/>
      <c r="J6" s="202"/>
      <c r="K6" s="202"/>
      <c r="L6" s="202"/>
      <c r="M6" s="202"/>
      <c r="N6" s="202"/>
      <c r="O6" s="202"/>
      <c r="P6" s="202"/>
    </row>
    <row r="7" spans="1:46" x14ac:dyDescent="0.2">
      <c r="I7" s="202"/>
      <c r="J7" s="202"/>
      <c r="K7" s="202"/>
      <c r="L7" s="202"/>
      <c r="M7" s="202"/>
      <c r="N7" s="202"/>
      <c r="O7" s="202"/>
      <c r="P7" s="202"/>
    </row>
    <row r="8" spans="1:46" x14ac:dyDescent="0.2">
      <c r="I8" s="202"/>
      <c r="J8" s="202"/>
      <c r="K8" s="202"/>
      <c r="L8" s="202"/>
      <c r="M8" s="202"/>
      <c r="N8" s="202"/>
      <c r="O8" s="202"/>
      <c r="P8" s="202"/>
    </row>
    <row r="9" spans="1:46" x14ac:dyDescent="0.2">
      <c r="I9" s="203"/>
      <c r="J9" s="203"/>
      <c r="K9" s="203"/>
      <c r="L9" s="203"/>
      <c r="M9" s="203"/>
      <c r="N9" s="203"/>
      <c r="O9" s="203"/>
      <c r="P9" s="203"/>
    </row>
    <row r="10" spans="1:46" x14ac:dyDescent="0.2">
      <c r="I10" s="203">
        <v>2</v>
      </c>
      <c r="J10" s="203">
        <v>3</v>
      </c>
      <c r="K10" s="203"/>
      <c r="L10" s="203"/>
      <c r="M10" s="203"/>
      <c r="N10" s="203"/>
      <c r="O10" s="203"/>
      <c r="P10" s="203"/>
    </row>
    <row r="11" spans="1:46" x14ac:dyDescent="0.2">
      <c r="I11" s="203">
        <v>1</v>
      </c>
      <c r="J11" s="203">
        <v>1</v>
      </c>
      <c r="K11" s="203">
        <v>4</v>
      </c>
      <c r="L11" s="203"/>
      <c r="M11" s="203">
        <v>5</v>
      </c>
      <c r="N11" s="203">
        <v>2</v>
      </c>
      <c r="O11" s="203">
        <v>3</v>
      </c>
      <c r="P11" s="203">
        <v>1</v>
      </c>
    </row>
    <row r="12" spans="1:46" ht="14.25" customHeight="1" thickBot="1" x14ac:dyDescent="0.25">
      <c r="I12" s="203">
        <v>1</v>
      </c>
      <c r="J12" s="203">
        <v>1</v>
      </c>
      <c r="K12" s="203">
        <v>1</v>
      </c>
      <c r="L12" s="203">
        <v>8</v>
      </c>
      <c r="M12" s="203">
        <v>1</v>
      </c>
      <c r="N12" s="203">
        <v>2</v>
      </c>
      <c r="O12" s="203">
        <v>1</v>
      </c>
      <c r="P12" s="203">
        <v>2</v>
      </c>
    </row>
    <row r="13" spans="1:46" ht="30" customHeight="1" x14ac:dyDescent="0.2">
      <c r="A13" s="203"/>
      <c r="B13" s="203"/>
      <c r="C13" s="203"/>
      <c r="D13" s="203"/>
      <c r="E13" s="203"/>
      <c r="F13" s="203"/>
      <c r="G13" s="203"/>
      <c r="H13" s="203">
        <v>1</v>
      </c>
      <c r="I13" s="19"/>
      <c r="J13" s="20"/>
      <c r="K13" s="20"/>
      <c r="L13" s="21"/>
      <c r="M13" s="22"/>
      <c r="N13" s="20"/>
      <c r="O13" s="20"/>
      <c r="P13" s="23"/>
      <c r="AD13" s="1" t="s">
        <v>0</v>
      </c>
      <c r="AE13" s="2" t="s">
        <v>0</v>
      </c>
      <c r="AF13" s="2" t="s">
        <v>0</v>
      </c>
      <c r="AG13" s="3">
        <v>1</v>
      </c>
      <c r="AH13" s="2" t="s">
        <v>0</v>
      </c>
      <c r="AI13" s="2" t="s">
        <v>0</v>
      </c>
      <c r="AJ13" s="2" t="s">
        <v>0</v>
      </c>
      <c r="AK13" s="4" t="s">
        <v>0</v>
      </c>
      <c r="AM13" s="24" t="b">
        <f t="shared" ref="AM13:AT20" si="0">I13=AD13</f>
        <v>0</v>
      </c>
      <c r="AN13" s="25" t="b">
        <f t="shared" si="0"/>
        <v>0</v>
      </c>
      <c r="AO13" s="25" t="b">
        <f t="shared" si="0"/>
        <v>0</v>
      </c>
      <c r="AP13" s="26" t="b">
        <f t="shared" si="0"/>
        <v>0</v>
      </c>
      <c r="AQ13" s="25" t="b">
        <f t="shared" si="0"/>
        <v>0</v>
      </c>
      <c r="AR13" s="25" t="b">
        <f t="shared" si="0"/>
        <v>0</v>
      </c>
      <c r="AS13" s="25" t="b">
        <f t="shared" si="0"/>
        <v>0</v>
      </c>
      <c r="AT13" s="27" t="b">
        <f t="shared" si="0"/>
        <v>0</v>
      </c>
    </row>
    <row r="14" spans="1:46" ht="30" customHeight="1" x14ac:dyDescent="0.2">
      <c r="A14" s="203"/>
      <c r="B14" s="203"/>
      <c r="C14" s="203"/>
      <c r="D14" s="203"/>
      <c r="E14" s="203"/>
      <c r="F14" s="203"/>
      <c r="G14" s="203"/>
      <c r="H14" s="203">
        <v>7</v>
      </c>
      <c r="I14" s="28"/>
      <c r="J14" s="29"/>
      <c r="K14" s="29"/>
      <c r="L14" s="30"/>
      <c r="M14" s="31"/>
      <c r="N14" s="29"/>
      <c r="O14" s="29"/>
      <c r="P14" s="32"/>
      <c r="AD14" s="5">
        <v>1</v>
      </c>
      <c r="AE14" s="6">
        <v>1</v>
      </c>
      <c r="AF14" s="6">
        <v>1</v>
      </c>
      <c r="AG14" s="7">
        <v>1</v>
      </c>
      <c r="AH14" s="6">
        <v>1</v>
      </c>
      <c r="AI14" s="6">
        <v>1</v>
      </c>
      <c r="AJ14" s="6">
        <v>1</v>
      </c>
      <c r="AK14" s="8" t="s">
        <v>0</v>
      </c>
      <c r="AM14" s="33" t="b">
        <f t="shared" si="0"/>
        <v>0</v>
      </c>
      <c r="AN14" s="34" t="b">
        <f t="shared" si="0"/>
        <v>0</v>
      </c>
      <c r="AO14" s="34" t="b">
        <f t="shared" si="0"/>
        <v>0</v>
      </c>
      <c r="AP14" s="35" t="b">
        <f t="shared" si="0"/>
        <v>0</v>
      </c>
      <c r="AQ14" s="34" t="b">
        <f t="shared" si="0"/>
        <v>0</v>
      </c>
      <c r="AR14" s="34" t="b">
        <f t="shared" si="0"/>
        <v>0</v>
      </c>
      <c r="AS14" s="34" t="b">
        <f t="shared" si="0"/>
        <v>0</v>
      </c>
      <c r="AT14" s="36" t="b">
        <f t="shared" si="0"/>
        <v>0</v>
      </c>
    </row>
    <row r="15" spans="1:46" ht="30" customHeight="1" x14ac:dyDescent="0.2">
      <c r="A15" s="203"/>
      <c r="B15" s="203"/>
      <c r="C15" s="203"/>
      <c r="D15" s="203"/>
      <c r="E15" s="203"/>
      <c r="F15" s="203"/>
      <c r="G15" s="203"/>
      <c r="H15" s="203">
        <v>8</v>
      </c>
      <c r="I15" s="28"/>
      <c r="J15" s="29"/>
      <c r="K15" s="29"/>
      <c r="L15" s="30"/>
      <c r="M15" s="31"/>
      <c r="N15" s="29"/>
      <c r="O15" s="29"/>
      <c r="P15" s="32"/>
      <c r="AD15" s="5">
        <v>1</v>
      </c>
      <c r="AE15" s="6">
        <v>1</v>
      </c>
      <c r="AF15" s="6">
        <v>1</v>
      </c>
      <c r="AG15" s="7">
        <v>1</v>
      </c>
      <c r="AH15" s="6">
        <v>1</v>
      </c>
      <c r="AI15" s="9">
        <v>1</v>
      </c>
      <c r="AJ15" s="9">
        <v>1</v>
      </c>
      <c r="AK15" s="8">
        <v>1</v>
      </c>
      <c r="AM15" s="33" t="b">
        <f t="shared" si="0"/>
        <v>0</v>
      </c>
      <c r="AN15" s="34" t="b">
        <f t="shared" si="0"/>
        <v>0</v>
      </c>
      <c r="AO15" s="34" t="b">
        <f t="shared" si="0"/>
        <v>0</v>
      </c>
      <c r="AP15" s="35" t="b">
        <f t="shared" si="0"/>
        <v>0</v>
      </c>
      <c r="AQ15" s="34" t="b">
        <f t="shared" si="0"/>
        <v>0</v>
      </c>
      <c r="AR15" s="34" t="b">
        <f t="shared" si="0"/>
        <v>0</v>
      </c>
      <c r="AS15" s="34" t="b">
        <f t="shared" si="0"/>
        <v>0</v>
      </c>
      <c r="AT15" s="36" t="b">
        <f t="shared" si="0"/>
        <v>0</v>
      </c>
    </row>
    <row r="16" spans="1:46" ht="30" customHeight="1" x14ac:dyDescent="0.2">
      <c r="A16" s="203"/>
      <c r="B16" s="203"/>
      <c r="C16" s="203"/>
      <c r="D16" s="203"/>
      <c r="E16" s="203"/>
      <c r="F16" s="203"/>
      <c r="G16" s="203">
        <v>4</v>
      </c>
      <c r="H16" s="203">
        <v>1</v>
      </c>
      <c r="I16" s="37"/>
      <c r="J16" s="38"/>
      <c r="K16" s="38"/>
      <c r="L16" s="39"/>
      <c r="M16" s="40"/>
      <c r="N16" s="38"/>
      <c r="O16" s="38"/>
      <c r="P16" s="41"/>
      <c r="AD16" s="10" t="s">
        <v>0</v>
      </c>
      <c r="AE16" s="11">
        <v>1</v>
      </c>
      <c r="AF16" s="11">
        <v>1</v>
      </c>
      <c r="AG16" s="12">
        <v>1</v>
      </c>
      <c r="AH16" s="11">
        <v>1</v>
      </c>
      <c r="AI16" s="11" t="s">
        <v>0</v>
      </c>
      <c r="AJ16" s="11">
        <v>1</v>
      </c>
      <c r="AK16" s="13" t="s">
        <v>0</v>
      </c>
      <c r="AM16" s="42" t="b">
        <f t="shared" si="0"/>
        <v>0</v>
      </c>
      <c r="AN16" s="43" t="b">
        <f t="shared" si="0"/>
        <v>0</v>
      </c>
      <c r="AO16" s="43" t="b">
        <f t="shared" si="0"/>
        <v>0</v>
      </c>
      <c r="AP16" s="44" t="b">
        <f t="shared" si="0"/>
        <v>0</v>
      </c>
      <c r="AQ16" s="43" t="b">
        <f t="shared" si="0"/>
        <v>0</v>
      </c>
      <c r="AR16" s="43" t="b">
        <f t="shared" si="0"/>
        <v>0</v>
      </c>
      <c r="AS16" s="43" t="b">
        <f t="shared" si="0"/>
        <v>0</v>
      </c>
      <c r="AT16" s="45" t="b">
        <f t="shared" si="0"/>
        <v>0</v>
      </c>
    </row>
    <row r="17" spans="1:46" ht="30" customHeight="1" x14ac:dyDescent="0.2">
      <c r="A17" s="203"/>
      <c r="B17" s="203"/>
      <c r="C17" s="203"/>
      <c r="D17" s="203"/>
      <c r="E17" s="203"/>
      <c r="F17" s="203"/>
      <c r="G17" s="203">
        <v>3</v>
      </c>
      <c r="H17" s="203">
        <v>1</v>
      </c>
      <c r="I17" s="46"/>
      <c r="J17" s="47"/>
      <c r="K17" s="47"/>
      <c r="L17" s="48"/>
      <c r="M17" s="49"/>
      <c r="N17" s="47"/>
      <c r="O17" s="47"/>
      <c r="P17" s="50"/>
      <c r="AD17" s="5" t="s">
        <v>0</v>
      </c>
      <c r="AE17" s="6" t="s">
        <v>0</v>
      </c>
      <c r="AF17" s="9">
        <v>1</v>
      </c>
      <c r="AG17" s="7">
        <v>1</v>
      </c>
      <c r="AH17" s="9">
        <v>1</v>
      </c>
      <c r="AI17" s="9" t="s">
        <v>0</v>
      </c>
      <c r="AJ17" s="9" t="s">
        <v>0</v>
      </c>
      <c r="AK17" s="8">
        <v>1</v>
      </c>
      <c r="AM17" s="33" t="b">
        <f t="shared" si="0"/>
        <v>0</v>
      </c>
      <c r="AN17" s="34" t="b">
        <f t="shared" si="0"/>
        <v>0</v>
      </c>
      <c r="AO17" s="34" t="b">
        <f t="shared" si="0"/>
        <v>0</v>
      </c>
      <c r="AP17" s="35" t="b">
        <f t="shared" si="0"/>
        <v>0</v>
      </c>
      <c r="AQ17" s="34" t="b">
        <f t="shared" si="0"/>
        <v>0</v>
      </c>
      <c r="AR17" s="34" t="b">
        <f t="shared" si="0"/>
        <v>0</v>
      </c>
      <c r="AS17" s="34" t="b">
        <f t="shared" si="0"/>
        <v>0</v>
      </c>
      <c r="AT17" s="36" t="b">
        <f t="shared" si="0"/>
        <v>0</v>
      </c>
    </row>
    <row r="18" spans="1:46" ht="30" customHeight="1" x14ac:dyDescent="0.2">
      <c r="A18" s="203"/>
      <c r="B18" s="203"/>
      <c r="C18" s="203"/>
      <c r="D18" s="203"/>
      <c r="E18" s="203"/>
      <c r="F18" s="203">
        <v>2</v>
      </c>
      <c r="G18" s="203">
        <v>3</v>
      </c>
      <c r="H18" s="203">
        <v>1</v>
      </c>
      <c r="I18" s="28"/>
      <c r="J18" s="29"/>
      <c r="K18" s="29"/>
      <c r="L18" s="30"/>
      <c r="M18" s="31"/>
      <c r="N18" s="29"/>
      <c r="O18" s="29"/>
      <c r="P18" s="32"/>
      <c r="AD18" s="5">
        <v>1</v>
      </c>
      <c r="AE18" s="6">
        <v>1</v>
      </c>
      <c r="AF18" s="6" t="s">
        <v>0</v>
      </c>
      <c r="AG18" s="7">
        <v>1</v>
      </c>
      <c r="AH18" s="6">
        <v>1</v>
      </c>
      <c r="AI18" s="9">
        <v>1</v>
      </c>
      <c r="AJ18" s="9" t="s">
        <v>0</v>
      </c>
      <c r="AK18" s="8">
        <v>1</v>
      </c>
      <c r="AM18" s="33" t="b">
        <f t="shared" si="0"/>
        <v>0</v>
      </c>
      <c r="AN18" s="34" t="b">
        <f t="shared" si="0"/>
        <v>0</v>
      </c>
      <c r="AO18" s="34" t="b">
        <f t="shared" si="0"/>
        <v>0</v>
      </c>
      <c r="AP18" s="35" t="b">
        <f t="shared" si="0"/>
        <v>0</v>
      </c>
      <c r="AQ18" s="34" t="b">
        <f t="shared" si="0"/>
        <v>0</v>
      </c>
      <c r="AR18" s="34" t="b">
        <f t="shared" si="0"/>
        <v>0</v>
      </c>
      <c r="AS18" s="34" t="b">
        <f t="shared" si="0"/>
        <v>0</v>
      </c>
      <c r="AT18" s="36" t="b">
        <f t="shared" si="0"/>
        <v>0</v>
      </c>
    </row>
    <row r="19" spans="1:46" ht="30" customHeight="1" x14ac:dyDescent="0.2">
      <c r="A19" s="203"/>
      <c r="B19" s="203"/>
      <c r="C19" s="203"/>
      <c r="D19" s="203"/>
      <c r="E19" s="203"/>
      <c r="F19" s="203"/>
      <c r="G19" s="203">
        <v>1</v>
      </c>
      <c r="H19" s="203">
        <v>2</v>
      </c>
      <c r="I19" s="28"/>
      <c r="J19" s="29"/>
      <c r="K19" s="51"/>
      <c r="L19" s="30"/>
      <c r="M19" s="52"/>
      <c r="N19" s="51"/>
      <c r="O19" s="51"/>
      <c r="P19" s="32"/>
      <c r="AD19" s="5" t="s">
        <v>0</v>
      </c>
      <c r="AE19" s="9" t="s">
        <v>0</v>
      </c>
      <c r="AF19" s="9" t="s">
        <v>0</v>
      </c>
      <c r="AG19" s="7">
        <v>1</v>
      </c>
      <c r="AH19" s="6" t="s">
        <v>0</v>
      </c>
      <c r="AI19" s="9">
        <v>1</v>
      </c>
      <c r="AJ19" s="9">
        <v>1</v>
      </c>
      <c r="AK19" s="8" t="s">
        <v>0</v>
      </c>
      <c r="AM19" s="33" t="b">
        <f t="shared" si="0"/>
        <v>0</v>
      </c>
      <c r="AN19" s="34" t="b">
        <f t="shared" si="0"/>
        <v>0</v>
      </c>
      <c r="AO19" s="34" t="b">
        <f t="shared" si="0"/>
        <v>0</v>
      </c>
      <c r="AP19" s="35" t="b">
        <f t="shared" si="0"/>
        <v>0</v>
      </c>
      <c r="AQ19" s="34" t="b">
        <f t="shared" si="0"/>
        <v>0</v>
      </c>
      <c r="AR19" s="34" t="b">
        <f t="shared" si="0"/>
        <v>0</v>
      </c>
      <c r="AS19" s="34" t="b">
        <f t="shared" si="0"/>
        <v>0</v>
      </c>
      <c r="AT19" s="36" t="b">
        <f t="shared" si="0"/>
        <v>0</v>
      </c>
    </row>
    <row r="20" spans="1:46" ht="30" customHeight="1" thickBot="1" x14ac:dyDescent="0.25">
      <c r="A20" s="203"/>
      <c r="B20" s="203"/>
      <c r="C20" s="203"/>
      <c r="D20" s="203"/>
      <c r="E20" s="203"/>
      <c r="F20" s="203"/>
      <c r="G20" s="203"/>
      <c r="H20" s="203">
        <v>5</v>
      </c>
      <c r="I20" s="53"/>
      <c r="J20" s="54"/>
      <c r="K20" s="54"/>
      <c r="L20" s="55"/>
      <c r="M20" s="56"/>
      <c r="N20" s="54"/>
      <c r="O20" s="54"/>
      <c r="P20" s="57"/>
      <c r="AD20" s="14">
        <v>1</v>
      </c>
      <c r="AE20" s="15">
        <v>1</v>
      </c>
      <c r="AF20" s="15">
        <v>1</v>
      </c>
      <c r="AG20" s="16">
        <v>1</v>
      </c>
      <c r="AH20" s="15">
        <v>1</v>
      </c>
      <c r="AI20" s="15" t="s">
        <v>0</v>
      </c>
      <c r="AJ20" s="15" t="s">
        <v>0</v>
      </c>
      <c r="AK20" s="17" t="s">
        <v>0</v>
      </c>
      <c r="AM20" s="58" t="b">
        <f t="shared" si="0"/>
        <v>0</v>
      </c>
      <c r="AN20" s="59" t="b">
        <f t="shared" si="0"/>
        <v>0</v>
      </c>
      <c r="AO20" s="59" t="b">
        <f t="shared" si="0"/>
        <v>0</v>
      </c>
      <c r="AP20" s="60" t="b">
        <f t="shared" si="0"/>
        <v>0</v>
      </c>
      <c r="AQ20" s="59" t="b">
        <f t="shared" si="0"/>
        <v>0</v>
      </c>
      <c r="AR20" s="59" t="b">
        <f t="shared" si="0"/>
        <v>0</v>
      </c>
      <c r="AS20" s="59" t="b">
        <f t="shared" si="0"/>
        <v>0</v>
      </c>
      <c r="AT20" s="61" t="b">
        <f t="shared" si="0"/>
        <v>0</v>
      </c>
    </row>
    <row r="22" spans="1:46" x14ac:dyDescent="0.2">
      <c r="S22" s="207"/>
      <c r="T22" s="207"/>
      <c r="U22" s="207"/>
      <c r="V22" s="207"/>
      <c r="W22" s="207"/>
      <c r="X22" s="207"/>
      <c r="Y22" s="207"/>
      <c r="Z22" s="207"/>
    </row>
    <row r="23" spans="1:46" ht="7.5" customHeight="1" x14ac:dyDescent="0.2">
      <c r="I23" s="208" t="str">
        <f>IF(COUNTIF(AM13:AT20, TRUE)=64,"PASS", "")</f>
        <v/>
      </c>
      <c r="J23" s="208"/>
      <c r="K23" s="208"/>
      <c r="L23" s="208"/>
      <c r="M23" s="208"/>
      <c r="N23" s="208"/>
      <c r="O23" s="208"/>
      <c r="P23" s="208"/>
      <c r="R23" s="209"/>
      <c r="S23" s="179"/>
      <c r="T23" s="180"/>
      <c r="U23" s="180"/>
      <c r="V23" s="180"/>
      <c r="W23" s="180"/>
      <c r="X23" s="180"/>
      <c r="Y23" s="180"/>
      <c r="Z23" s="181"/>
    </row>
    <row r="24" spans="1:46" ht="7.5" customHeight="1" x14ac:dyDescent="0.2">
      <c r="I24" s="208"/>
      <c r="J24" s="208"/>
      <c r="K24" s="208"/>
      <c r="L24" s="208"/>
      <c r="M24" s="208"/>
      <c r="N24" s="208"/>
      <c r="O24" s="208"/>
      <c r="P24" s="208"/>
      <c r="R24" s="209"/>
      <c r="S24" s="192"/>
      <c r="T24" s="193"/>
      <c r="U24" s="193"/>
      <c r="V24" s="193"/>
      <c r="W24" s="193"/>
      <c r="X24" s="193"/>
      <c r="Y24" s="193"/>
      <c r="Z24" s="194"/>
    </row>
    <row r="25" spans="1:46" ht="7.5" customHeight="1" x14ac:dyDescent="0.2">
      <c r="I25" s="208"/>
      <c r="J25" s="208"/>
      <c r="K25" s="208"/>
      <c r="L25" s="208"/>
      <c r="M25" s="208"/>
      <c r="N25" s="208"/>
      <c r="O25" s="208"/>
      <c r="P25" s="208"/>
      <c r="R25" s="209"/>
      <c r="S25" s="192"/>
      <c r="T25" s="193"/>
      <c r="U25" s="193"/>
      <c r="V25" s="193"/>
      <c r="W25" s="193"/>
      <c r="X25" s="193"/>
      <c r="Y25" s="193"/>
      <c r="Z25" s="194"/>
    </row>
    <row r="26" spans="1:46" ht="7.5" customHeight="1" x14ac:dyDescent="0.2">
      <c r="I26" s="208"/>
      <c r="J26" s="208"/>
      <c r="K26" s="208"/>
      <c r="L26" s="208"/>
      <c r="M26" s="208"/>
      <c r="N26" s="208"/>
      <c r="O26" s="208"/>
      <c r="P26" s="208"/>
      <c r="R26" s="209"/>
      <c r="S26" s="192"/>
      <c r="T26" s="193"/>
      <c r="U26" s="193"/>
      <c r="V26" s="193"/>
      <c r="W26" s="193"/>
      <c r="X26" s="193"/>
      <c r="Y26" s="193"/>
      <c r="Z26" s="194"/>
    </row>
    <row r="27" spans="1:46" ht="7.5" customHeight="1" x14ac:dyDescent="0.2">
      <c r="R27" s="209"/>
      <c r="S27" s="192"/>
      <c r="T27" s="193"/>
      <c r="U27" s="193"/>
      <c r="V27" s="193"/>
      <c r="W27" s="193"/>
      <c r="X27" s="193"/>
      <c r="Y27" s="193"/>
      <c r="Z27" s="194"/>
    </row>
    <row r="28" spans="1:46" ht="7.5" customHeight="1" x14ac:dyDescent="0.2">
      <c r="R28" s="209"/>
      <c r="S28" s="182"/>
      <c r="T28" s="183"/>
      <c r="U28" s="183"/>
      <c r="V28" s="183"/>
      <c r="W28" s="183"/>
      <c r="X28" s="183"/>
      <c r="Y28" s="183"/>
      <c r="Z28" s="184"/>
    </row>
    <row r="29" spans="1:46" ht="7.5" customHeight="1" x14ac:dyDescent="0.2">
      <c r="R29" s="209"/>
      <c r="S29" s="185"/>
      <c r="T29" s="186"/>
      <c r="U29" s="186"/>
      <c r="V29" s="186"/>
      <c r="W29" s="186"/>
      <c r="X29" s="186"/>
      <c r="Y29" s="186"/>
      <c r="Z29" s="187"/>
    </row>
    <row r="30" spans="1:46" ht="7.5" customHeight="1" x14ac:dyDescent="0.2">
      <c r="R30" s="209"/>
      <c r="S30" s="188"/>
      <c r="T30" s="189"/>
      <c r="U30" s="189"/>
      <c r="V30" s="189"/>
      <c r="W30" s="189"/>
      <c r="X30" s="189"/>
      <c r="Y30" s="189"/>
      <c r="Z30" s="190"/>
    </row>
    <row r="31" spans="1:46" x14ac:dyDescent="0.2">
      <c r="R31"/>
      <c r="S31"/>
      <c r="T31"/>
      <c r="U31"/>
      <c r="V31"/>
      <c r="W31"/>
      <c r="X31"/>
      <c r="Y31"/>
      <c r="Z31"/>
    </row>
    <row r="32" spans="1:46" x14ac:dyDescent="0.2">
      <c r="R32"/>
      <c r="S32"/>
      <c r="T32"/>
      <c r="U32"/>
      <c r="V32"/>
      <c r="W32"/>
      <c r="X32"/>
      <c r="Y32"/>
      <c r="Z32"/>
    </row>
    <row r="33" spans="9:28" x14ac:dyDescent="0.2">
      <c r="I33" s="18" t="s">
        <v>1</v>
      </c>
      <c r="R33"/>
      <c r="S33"/>
      <c r="T33"/>
      <c r="U33"/>
      <c r="V33"/>
      <c r="W33"/>
      <c r="X33"/>
      <c r="Y33"/>
      <c r="Z33"/>
    </row>
    <row r="34" spans="9:28" x14ac:dyDescent="0.2">
      <c r="I34" s="18" t="s">
        <v>2</v>
      </c>
      <c r="R34"/>
      <c r="S34"/>
      <c r="T34"/>
      <c r="U34"/>
      <c r="V34"/>
      <c r="W34"/>
      <c r="X34"/>
      <c r="Y34"/>
      <c r="Z34"/>
    </row>
    <row r="35" spans="9:28" x14ac:dyDescent="0.2">
      <c r="I35" s="18" t="s">
        <v>3</v>
      </c>
      <c r="R35"/>
      <c r="S35"/>
      <c r="T35"/>
      <c r="U35"/>
      <c r="V35"/>
      <c r="W35"/>
      <c r="X35"/>
      <c r="Y35"/>
      <c r="Z35"/>
    </row>
    <row r="37" spans="9:28" x14ac:dyDescent="0.2">
      <c r="I37" s="205" t="s">
        <v>13</v>
      </c>
      <c r="J37" s="205"/>
      <c r="K37" s="205"/>
      <c r="L37" s="205"/>
      <c r="M37" s="205"/>
      <c r="N37" s="205"/>
      <c r="O37" s="205"/>
      <c r="P37" s="205"/>
    </row>
    <row r="38" spans="9:28" x14ac:dyDescent="0.2">
      <c r="I38" s="191" t="str">
        <f>version</f>
        <v>v1.1.1</v>
      </c>
    </row>
    <row r="46" spans="9:28" x14ac:dyDescent="0.2">
      <c r="Q46" s="62"/>
      <c r="AA46" s="62"/>
      <c r="AB46" s="62"/>
    </row>
    <row r="52" spans="19:26" x14ac:dyDescent="0.2">
      <c r="S52"/>
      <c r="T52"/>
      <c r="U52"/>
      <c r="V52"/>
      <c r="W52"/>
      <c r="X52"/>
      <c r="Y52"/>
      <c r="Z52"/>
    </row>
    <row r="53" spans="19:26" x14ac:dyDescent="0.2">
      <c r="S53"/>
      <c r="T53"/>
      <c r="U53"/>
      <c r="V53"/>
      <c r="W53"/>
      <c r="X53"/>
      <c r="Y53"/>
      <c r="Z53"/>
    </row>
    <row r="54" spans="19:26" x14ac:dyDescent="0.2">
      <c r="S54"/>
      <c r="T54"/>
      <c r="U54"/>
      <c r="V54"/>
      <c r="W54"/>
      <c r="X54"/>
      <c r="Y54"/>
      <c r="Z54"/>
    </row>
  </sheetData>
  <protectedRanges>
    <protectedRange algorithmName="SHA-512" hashValue="XHcNPv0VSwoYaJCeQtj2WDRv6t/4vn8mp7CeCxABhfSdrkP3pgF4oalhajN1y61O+rP5eN4hX4XqXpaQ1cd8kQ==" saltValue="PoK8t2FxuVIrzwMr5EtXiQ==" spinCount="100000" sqref="I13:P20" name="区域1"/>
  </protectedRanges>
  <mergeCells count="5">
    <mergeCell ref="I37:P37"/>
    <mergeCell ref="A1:P3"/>
    <mergeCell ref="S22:Z22"/>
    <mergeCell ref="I23:P26"/>
    <mergeCell ref="R23:R30"/>
  </mergeCells>
  <phoneticPr fontId="1" type="noConversion"/>
  <conditionalFormatting sqref="AD13:AK20">
    <cfRule type="expression" dxfId="14" priority="5">
      <formula>I13=AD13</formula>
    </cfRule>
  </conditionalFormatting>
  <conditionalFormatting sqref="I13:P20">
    <cfRule type="cellIs" dxfId="13" priority="3" operator="equal">
      <formula>"x"</formula>
    </cfRule>
    <cfRule type="cellIs" dxfId="12" priority="4" operator="equal">
      <formula>1</formula>
    </cfRule>
  </conditionalFormatting>
  <conditionalFormatting sqref="S23:Z30">
    <cfRule type="cellIs" dxfId="11" priority="2" operator="equal">
      <formula>1</formula>
    </cfRule>
  </conditionalFormatting>
  <conditionalFormatting sqref="I5:P12 A13:H20">
    <cfRule type="expression" dxfId="10" priority="1">
      <formula>AND((CELL("row")&gt;=13)*(CELL("row")&lt;13+8)*(CELL("col")&gt;=9)*(CELL("col")&lt;9+8), (CELL("row")=ROW())+(CELL("col")=COLUMN()))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C6495-1557-4000-A569-61A70CCC25E9}">
  <sheetPr codeName="Sheet6"/>
  <dimension ref="A1:BC53"/>
  <sheetViews>
    <sheetView showGridLines="0" zoomScaleNormal="100" workbookViewId="0">
      <selection sqref="A1:P3"/>
    </sheetView>
  </sheetViews>
  <sheetFormatPr defaultRowHeight="14.25" x14ac:dyDescent="0.2"/>
  <cols>
    <col min="1" max="8" width="2.375" style="18" customWidth="1"/>
    <col min="9" max="18" width="5" style="18" customWidth="1"/>
    <col min="19" max="19" width="9" style="18" customWidth="1"/>
    <col min="20" max="20" width="2.375" style="18" customWidth="1"/>
    <col min="21" max="30" width="1.25" style="18" customWidth="1"/>
    <col min="31" max="32" width="9" style="18"/>
    <col min="33" max="33" width="9" style="18" hidden="1" customWidth="1"/>
    <col min="34" max="43" width="5" style="18" hidden="1" customWidth="1"/>
    <col min="44" max="44" width="9" style="18" hidden="1" customWidth="1"/>
    <col min="45" max="54" width="5" style="18" hidden="1" customWidth="1"/>
    <col min="55" max="55" width="9" style="18" hidden="1" customWidth="1"/>
    <col min="56" max="16384" width="9" style="18"/>
  </cols>
  <sheetData>
    <row r="1" spans="1:54" s="128" customFormat="1" ht="14.25" customHeight="1" x14ac:dyDescent="0.2">
      <c r="A1" s="206" t="s">
        <v>12</v>
      </c>
      <c r="B1" s="206"/>
      <c r="C1" s="206"/>
      <c r="D1" s="206"/>
      <c r="E1" s="206"/>
      <c r="F1" s="206"/>
      <c r="G1" s="206"/>
      <c r="H1" s="206"/>
      <c r="I1" s="206"/>
      <c r="J1" s="206"/>
      <c r="K1" s="206"/>
      <c r="L1" s="206"/>
      <c r="M1" s="206"/>
      <c r="N1" s="206"/>
      <c r="O1" s="206"/>
      <c r="P1" s="206"/>
      <c r="Q1" s="178"/>
      <c r="R1" s="178"/>
      <c r="S1" s="129"/>
      <c r="T1" s="129"/>
      <c r="U1" s="129"/>
      <c r="V1" s="129"/>
      <c r="W1" s="129"/>
      <c r="X1" s="129"/>
      <c r="Y1" s="129"/>
      <c r="Z1" s="129"/>
      <c r="AA1" s="129"/>
      <c r="AB1" s="129"/>
      <c r="AC1" s="129"/>
      <c r="AD1" s="129"/>
      <c r="AE1" s="129"/>
      <c r="AF1" s="129"/>
    </row>
    <row r="2" spans="1:54" s="128" customFormat="1" ht="14.25" customHeight="1" x14ac:dyDescent="0.2">
      <c r="A2" s="206"/>
      <c r="B2" s="206"/>
      <c r="C2" s="206"/>
      <c r="D2" s="206"/>
      <c r="E2" s="206"/>
      <c r="F2" s="206"/>
      <c r="G2" s="206"/>
      <c r="H2" s="206"/>
      <c r="I2" s="206"/>
      <c r="J2" s="206"/>
      <c r="K2" s="206"/>
      <c r="L2" s="206"/>
      <c r="M2" s="206"/>
      <c r="N2" s="206"/>
      <c r="O2" s="206"/>
      <c r="P2" s="206"/>
      <c r="Q2" s="178"/>
      <c r="R2" s="178"/>
      <c r="S2" s="129"/>
      <c r="T2" s="129"/>
      <c r="U2" s="129"/>
      <c r="V2" s="129"/>
      <c r="W2" s="129"/>
      <c r="X2" s="129"/>
      <c r="Y2" s="129"/>
      <c r="Z2" s="129"/>
      <c r="AA2" s="129"/>
      <c r="AB2" s="129"/>
      <c r="AC2" s="129"/>
      <c r="AD2" s="129"/>
      <c r="AE2" s="129"/>
      <c r="AF2" s="129"/>
    </row>
    <row r="3" spans="1:54" s="128" customFormat="1" ht="14.25" customHeight="1" x14ac:dyDescent="0.2">
      <c r="A3" s="206"/>
      <c r="B3" s="206"/>
      <c r="C3" s="206"/>
      <c r="D3" s="206"/>
      <c r="E3" s="206"/>
      <c r="F3" s="206"/>
      <c r="G3" s="206"/>
      <c r="H3" s="206"/>
      <c r="I3" s="206"/>
      <c r="J3" s="206"/>
      <c r="K3" s="206"/>
      <c r="L3" s="206"/>
      <c r="M3" s="206"/>
      <c r="N3" s="206"/>
      <c r="O3" s="206"/>
      <c r="P3" s="206"/>
      <c r="Q3" s="178"/>
      <c r="R3" s="178"/>
      <c r="S3" s="129"/>
      <c r="T3" s="129"/>
      <c r="U3" s="129"/>
      <c r="V3" s="129"/>
      <c r="W3" s="129"/>
      <c r="X3" s="129"/>
      <c r="Y3" s="129"/>
      <c r="Z3" s="129"/>
      <c r="AA3" s="129"/>
      <c r="AB3" s="129"/>
      <c r="AC3" s="129"/>
      <c r="AD3" s="129"/>
      <c r="AE3" s="129"/>
      <c r="AF3" s="129"/>
    </row>
    <row r="4" spans="1:54" s="128" customFormat="1" ht="32.25" customHeight="1" x14ac:dyDescent="0.2"/>
    <row r="5" spans="1:54" s="127" customFormat="1" x14ac:dyDescent="0.2">
      <c r="I5" s="200"/>
      <c r="J5" s="200"/>
      <c r="K5" s="200"/>
      <c r="L5" s="200"/>
      <c r="M5" s="200"/>
      <c r="N5" s="200"/>
      <c r="O5" s="200"/>
      <c r="P5" s="200"/>
      <c r="Q5" s="200"/>
      <c r="R5" s="200"/>
    </row>
    <row r="6" spans="1:54" x14ac:dyDescent="0.2">
      <c r="I6" s="200"/>
      <c r="J6" s="200"/>
      <c r="K6" s="200"/>
      <c r="L6" s="200"/>
      <c r="M6" s="200"/>
      <c r="N6" s="200"/>
      <c r="O6" s="200"/>
      <c r="P6" s="200"/>
      <c r="Q6" s="200"/>
      <c r="R6" s="200"/>
    </row>
    <row r="7" spans="1:54" x14ac:dyDescent="0.2">
      <c r="I7" s="200"/>
      <c r="J7" s="200"/>
      <c r="K7" s="200"/>
      <c r="L7" s="200"/>
      <c r="M7" s="200"/>
      <c r="N7" s="200"/>
      <c r="O7" s="200"/>
      <c r="P7" s="200"/>
      <c r="Q7" s="200"/>
      <c r="R7" s="200"/>
    </row>
    <row r="8" spans="1:54" x14ac:dyDescent="0.2">
      <c r="I8" s="200"/>
      <c r="J8" s="200"/>
      <c r="K8" s="200"/>
      <c r="L8" s="200"/>
      <c r="M8" s="200"/>
      <c r="N8" s="200"/>
      <c r="O8" s="200"/>
      <c r="P8" s="200"/>
      <c r="Q8" s="200"/>
      <c r="R8" s="200"/>
    </row>
    <row r="9" spans="1:54" x14ac:dyDescent="0.2">
      <c r="I9" s="200">
        <v>1</v>
      </c>
      <c r="J9" s="200"/>
      <c r="K9" s="200"/>
      <c r="L9" s="200"/>
      <c r="M9" s="200"/>
      <c r="N9" s="200"/>
      <c r="O9" s="200"/>
      <c r="P9" s="200"/>
      <c r="Q9" s="200"/>
      <c r="R9" s="200">
        <v>1</v>
      </c>
    </row>
    <row r="10" spans="1:54" x14ac:dyDescent="0.2">
      <c r="I10" s="200">
        <v>4</v>
      </c>
      <c r="J10" s="200"/>
      <c r="K10" s="200">
        <v>4</v>
      </c>
      <c r="L10" s="200"/>
      <c r="M10" s="200">
        <v>2</v>
      </c>
      <c r="N10" s="200"/>
      <c r="O10" s="200">
        <v>2</v>
      </c>
      <c r="P10" s="200">
        <v>2</v>
      </c>
      <c r="Q10" s="200"/>
      <c r="R10" s="200">
        <v>2</v>
      </c>
    </row>
    <row r="11" spans="1:54" x14ac:dyDescent="0.2">
      <c r="I11" s="200">
        <v>1</v>
      </c>
      <c r="J11" s="200">
        <v>5</v>
      </c>
      <c r="K11" s="200">
        <v>1</v>
      </c>
      <c r="L11" s="200">
        <v>3</v>
      </c>
      <c r="M11" s="200">
        <v>2</v>
      </c>
      <c r="N11" s="200">
        <v>3</v>
      </c>
      <c r="O11" s="200">
        <v>2</v>
      </c>
      <c r="P11" s="200">
        <v>2</v>
      </c>
      <c r="Q11" s="200">
        <v>2</v>
      </c>
      <c r="R11" s="200">
        <v>1</v>
      </c>
    </row>
    <row r="12" spans="1:54" ht="14.25" customHeight="1" thickBot="1" x14ac:dyDescent="0.25">
      <c r="I12" s="200">
        <v>1</v>
      </c>
      <c r="J12" s="200">
        <v>3</v>
      </c>
      <c r="K12" s="200">
        <v>3</v>
      </c>
      <c r="L12" s="200">
        <v>6</v>
      </c>
      <c r="M12" s="200">
        <v>3</v>
      </c>
      <c r="N12" s="200">
        <v>5</v>
      </c>
      <c r="O12" s="200">
        <v>4</v>
      </c>
      <c r="P12" s="200">
        <v>4</v>
      </c>
      <c r="Q12" s="200">
        <v>6</v>
      </c>
      <c r="R12" s="200">
        <v>2</v>
      </c>
    </row>
    <row r="13" spans="1:54" ht="30" customHeight="1" x14ac:dyDescent="0.2">
      <c r="A13" s="200"/>
      <c r="B13" s="200"/>
      <c r="C13" s="200"/>
      <c r="D13" s="200"/>
      <c r="E13" s="200"/>
      <c r="F13" s="200">
        <v>5</v>
      </c>
      <c r="G13" s="200">
        <v>2</v>
      </c>
      <c r="H13" s="200">
        <v>1</v>
      </c>
      <c r="I13" s="19"/>
      <c r="J13" s="20"/>
      <c r="K13" s="20"/>
      <c r="L13" s="20"/>
      <c r="M13" s="21"/>
      <c r="N13" s="22"/>
      <c r="O13" s="20"/>
      <c r="P13" s="20"/>
      <c r="Q13" s="20"/>
      <c r="R13" s="23"/>
      <c r="AH13" s="1">
        <v>1</v>
      </c>
      <c r="AI13" s="2">
        <v>1</v>
      </c>
      <c r="AJ13" s="2">
        <v>1</v>
      </c>
      <c r="AK13" s="2">
        <v>1</v>
      </c>
      <c r="AL13" s="3">
        <v>1</v>
      </c>
      <c r="AM13" s="2" t="s">
        <v>0</v>
      </c>
      <c r="AN13" s="2">
        <v>1</v>
      </c>
      <c r="AO13" s="2">
        <v>1</v>
      </c>
      <c r="AP13" s="2" t="s">
        <v>0</v>
      </c>
      <c r="AQ13" s="4">
        <v>1</v>
      </c>
      <c r="AS13" s="24" t="b">
        <f t="shared" ref="AS13:AS22" si="0">I13=AH13</f>
        <v>0</v>
      </c>
      <c r="AT13" s="25" t="b">
        <f t="shared" ref="AT13:AT22" si="1">J13=AI13</f>
        <v>0</v>
      </c>
      <c r="AU13" s="25" t="b">
        <f t="shared" ref="AU13:AU22" si="2">K13=AJ13</f>
        <v>0</v>
      </c>
      <c r="AV13" s="25" t="b">
        <f t="shared" ref="AV13:AV22" si="3">L13=AK13</f>
        <v>0</v>
      </c>
      <c r="AW13" s="26" t="b">
        <f t="shared" ref="AW13:AW22" si="4">M13=AL13</f>
        <v>0</v>
      </c>
      <c r="AX13" s="25" t="b">
        <f t="shared" ref="AX13:AX22" si="5">N13=AM13</f>
        <v>0</v>
      </c>
      <c r="AY13" s="25" t="b">
        <f t="shared" ref="AY13:AY22" si="6">O13=AN13</f>
        <v>0</v>
      </c>
      <c r="AZ13" s="25" t="b">
        <f t="shared" ref="AZ13:AZ22" si="7">P13=AO13</f>
        <v>0</v>
      </c>
      <c r="BA13" s="25" t="b">
        <f t="shared" ref="BA13:BA22" si="8">Q13=AP13</f>
        <v>0</v>
      </c>
      <c r="BB13" s="27" t="b">
        <f t="shared" ref="BB13:BB22" si="9">R13=AQ13</f>
        <v>0</v>
      </c>
    </row>
    <row r="14" spans="1:54" ht="30" customHeight="1" x14ac:dyDescent="0.2">
      <c r="A14" s="200"/>
      <c r="B14" s="200"/>
      <c r="C14" s="200"/>
      <c r="D14" s="200"/>
      <c r="E14" s="200"/>
      <c r="F14" s="200"/>
      <c r="G14" s="200"/>
      <c r="H14" s="200">
        <v>8</v>
      </c>
      <c r="I14" s="28"/>
      <c r="J14" s="29"/>
      <c r="K14" s="29"/>
      <c r="L14" s="29"/>
      <c r="M14" s="30"/>
      <c r="N14" s="31"/>
      <c r="O14" s="29"/>
      <c r="P14" s="29"/>
      <c r="Q14" s="29"/>
      <c r="R14" s="32"/>
      <c r="AH14" s="5" t="s">
        <v>0</v>
      </c>
      <c r="AI14" s="6">
        <v>1</v>
      </c>
      <c r="AJ14" s="6">
        <v>1</v>
      </c>
      <c r="AK14" s="6">
        <v>1</v>
      </c>
      <c r="AL14" s="7">
        <v>1</v>
      </c>
      <c r="AM14" s="6">
        <v>1</v>
      </c>
      <c r="AN14" s="6">
        <v>1</v>
      </c>
      <c r="AO14" s="6">
        <v>1</v>
      </c>
      <c r="AP14" s="6">
        <v>1</v>
      </c>
      <c r="AQ14" s="8" t="s">
        <v>0</v>
      </c>
      <c r="AS14" s="33" t="b">
        <f t="shared" si="0"/>
        <v>0</v>
      </c>
      <c r="AT14" s="34" t="b">
        <f t="shared" si="1"/>
        <v>0</v>
      </c>
      <c r="AU14" s="34" t="b">
        <f t="shared" si="2"/>
        <v>0</v>
      </c>
      <c r="AV14" s="34" t="b">
        <f t="shared" si="3"/>
        <v>0</v>
      </c>
      <c r="AW14" s="35" t="b">
        <f t="shared" si="4"/>
        <v>0</v>
      </c>
      <c r="AX14" s="34" t="b">
        <f t="shared" si="5"/>
        <v>0</v>
      </c>
      <c r="AY14" s="34" t="b">
        <f t="shared" si="6"/>
        <v>0</v>
      </c>
      <c r="AZ14" s="34" t="b">
        <f t="shared" si="7"/>
        <v>0</v>
      </c>
      <c r="BA14" s="34" t="b">
        <f t="shared" si="8"/>
        <v>0</v>
      </c>
      <c r="BB14" s="36" t="b">
        <f t="shared" si="9"/>
        <v>0</v>
      </c>
    </row>
    <row r="15" spans="1:54" ht="30" customHeight="1" x14ac:dyDescent="0.2">
      <c r="A15" s="200"/>
      <c r="B15" s="200"/>
      <c r="C15" s="200"/>
      <c r="D15" s="200"/>
      <c r="E15" s="200"/>
      <c r="F15" s="200">
        <v>4</v>
      </c>
      <c r="G15" s="200">
        <v>1</v>
      </c>
      <c r="H15" s="200">
        <v>1</v>
      </c>
      <c r="I15" s="28"/>
      <c r="J15" s="29"/>
      <c r="K15" s="29"/>
      <c r="L15" s="29"/>
      <c r="M15" s="30"/>
      <c r="N15" s="31"/>
      <c r="O15" s="29"/>
      <c r="P15" s="29"/>
      <c r="Q15" s="29"/>
      <c r="R15" s="32"/>
      <c r="AH15" s="5">
        <v>1</v>
      </c>
      <c r="AI15" s="6">
        <v>1</v>
      </c>
      <c r="AJ15" s="6">
        <v>1</v>
      </c>
      <c r="AK15" s="6">
        <v>1</v>
      </c>
      <c r="AL15" s="7" t="s">
        <v>0</v>
      </c>
      <c r="AM15" s="9">
        <v>1</v>
      </c>
      <c r="AN15" s="9" t="s">
        <v>0</v>
      </c>
      <c r="AO15" s="9" t="s">
        <v>0</v>
      </c>
      <c r="AP15" s="9">
        <v>1</v>
      </c>
      <c r="AQ15" s="8" t="s">
        <v>0</v>
      </c>
      <c r="AS15" s="33" t="b">
        <f t="shared" si="0"/>
        <v>0</v>
      </c>
      <c r="AT15" s="34" t="b">
        <f t="shared" si="1"/>
        <v>0</v>
      </c>
      <c r="AU15" s="34" t="b">
        <f t="shared" si="2"/>
        <v>0</v>
      </c>
      <c r="AV15" s="34" t="b">
        <f t="shared" si="3"/>
        <v>0</v>
      </c>
      <c r="AW15" s="35" t="b">
        <f t="shared" si="4"/>
        <v>0</v>
      </c>
      <c r="AX15" s="34" t="b">
        <f t="shared" si="5"/>
        <v>0</v>
      </c>
      <c r="AY15" s="34" t="b">
        <f t="shared" si="6"/>
        <v>0</v>
      </c>
      <c r="AZ15" s="34" t="b">
        <f t="shared" si="7"/>
        <v>0</v>
      </c>
      <c r="BA15" s="34" t="b">
        <f t="shared" si="8"/>
        <v>0</v>
      </c>
      <c r="BB15" s="36" t="b">
        <f t="shared" si="9"/>
        <v>0</v>
      </c>
    </row>
    <row r="16" spans="1:54" ht="30" customHeight="1" x14ac:dyDescent="0.2">
      <c r="A16" s="200"/>
      <c r="B16" s="200"/>
      <c r="C16" s="200"/>
      <c r="D16" s="200"/>
      <c r="E16" s="200"/>
      <c r="F16" s="200">
        <v>3</v>
      </c>
      <c r="G16" s="200">
        <v>3</v>
      </c>
      <c r="H16" s="200">
        <v>1</v>
      </c>
      <c r="I16" s="28"/>
      <c r="J16" s="29"/>
      <c r="K16" s="29"/>
      <c r="L16" s="29"/>
      <c r="M16" s="30"/>
      <c r="N16" s="31"/>
      <c r="O16" s="29"/>
      <c r="P16" s="29"/>
      <c r="Q16" s="29"/>
      <c r="R16" s="32"/>
      <c r="AH16" s="5">
        <v>1</v>
      </c>
      <c r="AI16" s="6">
        <v>1</v>
      </c>
      <c r="AJ16" s="6">
        <v>1</v>
      </c>
      <c r="AK16" s="6" t="s">
        <v>0</v>
      </c>
      <c r="AL16" s="7" t="s">
        <v>0</v>
      </c>
      <c r="AM16" s="6">
        <v>1</v>
      </c>
      <c r="AN16" s="6">
        <v>1</v>
      </c>
      <c r="AO16" s="6">
        <v>1</v>
      </c>
      <c r="AP16" s="6" t="s">
        <v>0</v>
      </c>
      <c r="AQ16" s="8">
        <v>1</v>
      </c>
      <c r="AS16" s="33" t="b">
        <f t="shared" si="0"/>
        <v>0</v>
      </c>
      <c r="AT16" s="34" t="b">
        <f t="shared" si="1"/>
        <v>0</v>
      </c>
      <c r="AU16" s="34" t="b">
        <f t="shared" si="2"/>
        <v>0</v>
      </c>
      <c r="AV16" s="34" t="b">
        <f t="shared" si="3"/>
        <v>0</v>
      </c>
      <c r="AW16" s="35" t="b">
        <f t="shared" si="4"/>
        <v>0</v>
      </c>
      <c r="AX16" s="34" t="b">
        <f t="shared" si="5"/>
        <v>0</v>
      </c>
      <c r="AY16" s="34" t="b">
        <f t="shared" si="6"/>
        <v>0</v>
      </c>
      <c r="AZ16" s="34" t="b">
        <f t="shared" si="7"/>
        <v>0</v>
      </c>
      <c r="BA16" s="34" t="b">
        <f t="shared" si="8"/>
        <v>0</v>
      </c>
      <c r="BB16" s="36" t="b">
        <f t="shared" si="9"/>
        <v>0</v>
      </c>
    </row>
    <row r="17" spans="1:54" ht="30" customHeight="1" x14ac:dyDescent="0.2">
      <c r="A17" s="200"/>
      <c r="B17" s="200"/>
      <c r="C17" s="200"/>
      <c r="D17" s="200"/>
      <c r="E17" s="200"/>
      <c r="F17" s="200">
        <v>2</v>
      </c>
      <c r="G17" s="200">
        <v>2</v>
      </c>
      <c r="H17" s="200">
        <v>4</v>
      </c>
      <c r="I17" s="37"/>
      <c r="J17" s="38"/>
      <c r="K17" s="38"/>
      <c r="L17" s="38"/>
      <c r="M17" s="39"/>
      <c r="N17" s="40"/>
      <c r="O17" s="38"/>
      <c r="P17" s="38"/>
      <c r="Q17" s="38"/>
      <c r="R17" s="41"/>
      <c r="AH17" s="10">
        <v>1</v>
      </c>
      <c r="AI17" s="11">
        <v>1</v>
      </c>
      <c r="AJ17" s="136" t="s">
        <v>0</v>
      </c>
      <c r="AK17" s="11">
        <v>1</v>
      </c>
      <c r="AL17" s="137">
        <v>1</v>
      </c>
      <c r="AM17" s="136" t="s">
        <v>0</v>
      </c>
      <c r="AN17" s="136">
        <v>1</v>
      </c>
      <c r="AO17" s="136">
        <v>1</v>
      </c>
      <c r="AP17" s="136">
        <v>1</v>
      </c>
      <c r="AQ17" s="13">
        <v>1</v>
      </c>
      <c r="AS17" s="42" t="b">
        <f t="shared" si="0"/>
        <v>0</v>
      </c>
      <c r="AT17" s="43" t="b">
        <f t="shared" si="1"/>
        <v>0</v>
      </c>
      <c r="AU17" s="43" t="b">
        <f t="shared" si="2"/>
        <v>0</v>
      </c>
      <c r="AV17" s="43" t="b">
        <f t="shared" si="3"/>
        <v>0</v>
      </c>
      <c r="AW17" s="44" t="b">
        <f t="shared" si="4"/>
        <v>0</v>
      </c>
      <c r="AX17" s="43" t="b">
        <f t="shared" si="5"/>
        <v>0</v>
      </c>
      <c r="AY17" s="43" t="b">
        <f t="shared" si="6"/>
        <v>0</v>
      </c>
      <c r="AZ17" s="43" t="b">
        <f t="shared" si="7"/>
        <v>0</v>
      </c>
      <c r="BA17" s="43" t="b">
        <f t="shared" si="8"/>
        <v>0</v>
      </c>
      <c r="BB17" s="45" t="b">
        <f t="shared" si="9"/>
        <v>0</v>
      </c>
    </row>
    <row r="18" spans="1:54" ht="30" customHeight="1" x14ac:dyDescent="0.2">
      <c r="A18" s="200"/>
      <c r="B18" s="200"/>
      <c r="C18" s="200"/>
      <c r="D18" s="200"/>
      <c r="E18" s="200"/>
      <c r="F18" s="200">
        <v>1</v>
      </c>
      <c r="G18" s="200">
        <v>4</v>
      </c>
      <c r="H18" s="200">
        <v>1</v>
      </c>
      <c r="I18" s="46"/>
      <c r="J18" s="47"/>
      <c r="K18" s="47"/>
      <c r="L18" s="47"/>
      <c r="M18" s="48"/>
      <c r="N18" s="49"/>
      <c r="O18" s="47"/>
      <c r="P18" s="47"/>
      <c r="Q18" s="47"/>
      <c r="R18" s="50"/>
      <c r="AH18" s="5">
        <v>1</v>
      </c>
      <c r="AI18" s="6" t="s">
        <v>0</v>
      </c>
      <c r="AJ18" s="6">
        <v>1</v>
      </c>
      <c r="AK18" s="6">
        <v>1</v>
      </c>
      <c r="AL18" s="7">
        <v>1</v>
      </c>
      <c r="AM18" s="9">
        <v>1</v>
      </c>
      <c r="AN18" s="9" t="s">
        <v>0</v>
      </c>
      <c r="AO18" s="9" t="s">
        <v>0</v>
      </c>
      <c r="AP18" s="9">
        <v>1</v>
      </c>
      <c r="AQ18" s="8" t="s">
        <v>0</v>
      </c>
      <c r="AS18" s="33" t="b">
        <f t="shared" si="0"/>
        <v>0</v>
      </c>
      <c r="AT18" s="34" t="b">
        <f t="shared" si="1"/>
        <v>0</v>
      </c>
      <c r="AU18" s="34" t="b">
        <f t="shared" si="2"/>
        <v>0</v>
      </c>
      <c r="AV18" s="34" t="b">
        <f t="shared" si="3"/>
        <v>0</v>
      </c>
      <c r="AW18" s="35" t="b">
        <f t="shared" si="4"/>
        <v>0</v>
      </c>
      <c r="AX18" s="34" t="b">
        <f t="shared" si="5"/>
        <v>0</v>
      </c>
      <c r="AY18" s="34" t="b">
        <f t="shared" si="6"/>
        <v>0</v>
      </c>
      <c r="AZ18" s="34" t="b">
        <f t="shared" si="7"/>
        <v>0</v>
      </c>
      <c r="BA18" s="34" t="b">
        <f t="shared" si="8"/>
        <v>0</v>
      </c>
      <c r="BB18" s="36" t="b">
        <f t="shared" si="9"/>
        <v>0</v>
      </c>
    </row>
    <row r="19" spans="1:54" ht="30" customHeight="1" x14ac:dyDescent="0.2">
      <c r="A19" s="200"/>
      <c r="B19" s="200"/>
      <c r="C19" s="200"/>
      <c r="D19" s="200"/>
      <c r="E19" s="200"/>
      <c r="F19" s="200">
        <v>1</v>
      </c>
      <c r="G19" s="200">
        <v>1</v>
      </c>
      <c r="H19" s="200">
        <v>5</v>
      </c>
      <c r="I19" s="28"/>
      <c r="J19" s="29"/>
      <c r="K19" s="51"/>
      <c r="L19" s="29"/>
      <c r="M19" s="135"/>
      <c r="N19" s="52"/>
      <c r="O19" s="51"/>
      <c r="P19" s="51"/>
      <c r="Q19" s="51"/>
      <c r="R19" s="32"/>
      <c r="AH19" s="5" t="s">
        <v>0</v>
      </c>
      <c r="AI19" s="9">
        <v>1</v>
      </c>
      <c r="AJ19" s="9" t="s">
        <v>0</v>
      </c>
      <c r="AK19" s="6">
        <v>1</v>
      </c>
      <c r="AL19" s="7" t="s">
        <v>0</v>
      </c>
      <c r="AM19" s="9">
        <v>1</v>
      </c>
      <c r="AN19" s="9">
        <v>1</v>
      </c>
      <c r="AO19" s="9">
        <v>1</v>
      </c>
      <c r="AP19" s="9">
        <v>1</v>
      </c>
      <c r="AQ19" s="8">
        <v>1</v>
      </c>
      <c r="AS19" s="33" t="b">
        <f t="shared" si="0"/>
        <v>0</v>
      </c>
      <c r="AT19" s="34" t="b">
        <f t="shared" si="1"/>
        <v>0</v>
      </c>
      <c r="AU19" s="34" t="b">
        <f t="shared" si="2"/>
        <v>0</v>
      </c>
      <c r="AV19" s="34" t="b">
        <f t="shared" si="3"/>
        <v>0</v>
      </c>
      <c r="AW19" s="35" t="b">
        <f t="shared" si="4"/>
        <v>0</v>
      </c>
      <c r="AX19" s="34" t="b">
        <f t="shared" si="5"/>
        <v>0</v>
      </c>
      <c r="AY19" s="34" t="b">
        <f t="shared" si="6"/>
        <v>0</v>
      </c>
      <c r="AZ19" s="34" t="b">
        <f t="shared" si="7"/>
        <v>0</v>
      </c>
      <c r="BA19" s="34" t="b">
        <f t="shared" si="8"/>
        <v>0</v>
      </c>
      <c r="BB19" s="36" t="b">
        <f t="shared" si="9"/>
        <v>0</v>
      </c>
    </row>
    <row r="20" spans="1:54" ht="30" customHeight="1" x14ac:dyDescent="0.2">
      <c r="A20" s="200"/>
      <c r="B20" s="200"/>
      <c r="C20" s="200"/>
      <c r="D20" s="200"/>
      <c r="E20" s="200"/>
      <c r="F20" s="200"/>
      <c r="G20" s="200"/>
      <c r="H20" s="200">
        <v>9</v>
      </c>
      <c r="I20" s="28"/>
      <c r="J20" s="29"/>
      <c r="K20" s="51"/>
      <c r="L20" s="29"/>
      <c r="M20" s="135"/>
      <c r="N20" s="52"/>
      <c r="O20" s="51"/>
      <c r="P20" s="51"/>
      <c r="Q20" s="51"/>
      <c r="R20" s="32"/>
      <c r="AH20" s="5">
        <v>1</v>
      </c>
      <c r="AI20" s="9">
        <v>1</v>
      </c>
      <c r="AJ20" s="9">
        <v>1</v>
      </c>
      <c r="AK20" s="6">
        <v>1</v>
      </c>
      <c r="AL20" s="7">
        <v>1</v>
      </c>
      <c r="AM20" s="9">
        <v>1</v>
      </c>
      <c r="AN20" s="9">
        <v>1</v>
      </c>
      <c r="AO20" s="9">
        <v>1</v>
      </c>
      <c r="AP20" s="9">
        <v>1</v>
      </c>
      <c r="AQ20" s="8" t="s">
        <v>0</v>
      </c>
      <c r="AS20" s="33" t="b">
        <f t="shared" si="0"/>
        <v>0</v>
      </c>
      <c r="AT20" s="34" t="b">
        <f t="shared" si="1"/>
        <v>0</v>
      </c>
      <c r="AU20" s="34" t="b">
        <f t="shared" si="2"/>
        <v>0</v>
      </c>
      <c r="AV20" s="34" t="b">
        <f t="shared" si="3"/>
        <v>0</v>
      </c>
      <c r="AW20" s="35" t="b">
        <f t="shared" si="4"/>
        <v>0</v>
      </c>
      <c r="AX20" s="34" t="b">
        <f t="shared" si="5"/>
        <v>0</v>
      </c>
      <c r="AY20" s="34" t="b">
        <f t="shared" si="6"/>
        <v>0</v>
      </c>
      <c r="AZ20" s="34" t="b">
        <f t="shared" si="7"/>
        <v>0</v>
      </c>
      <c r="BA20" s="34" t="b">
        <f t="shared" si="8"/>
        <v>0</v>
      </c>
      <c r="BB20" s="36" t="b">
        <f t="shared" si="9"/>
        <v>0</v>
      </c>
    </row>
    <row r="21" spans="1:54" ht="30" customHeight="1" x14ac:dyDescent="0.2">
      <c r="A21" s="200"/>
      <c r="B21" s="200"/>
      <c r="C21" s="200"/>
      <c r="D21" s="200"/>
      <c r="E21" s="200"/>
      <c r="F21" s="200"/>
      <c r="G21" s="200"/>
      <c r="H21" s="200">
        <v>9</v>
      </c>
      <c r="I21" s="28"/>
      <c r="J21" s="29"/>
      <c r="K21" s="51"/>
      <c r="L21" s="29"/>
      <c r="M21" s="135"/>
      <c r="N21" s="52"/>
      <c r="O21" s="51"/>
      <c r="P21" s="51"/>
      <c r="Q21" s="51"/>
      <c r="R21" s="32"/>
      <c r="AH21" s="5" t="s">
        <v>0</v>
      </c>
      <c r="AI21" s="9">
        <v>1</v>
      </c>
      <c r="AJ21" s="9">
        <v>1</v>
      </c>
      <c r="AK21" s="6">
        <v>1</v>
      </c>
      <c r="AL21" s="7">
        <v>1</v>
      </c>
      <c r="AM21" s="9">
        <v>1</v>
      </c>
      <c r="AN21" s="9">
        <v>1</v>
      </c>
      <c r="AO21" s="9">
        <v>1</v>
      </c>
      <c r="AP21" s="9">
        <v>1</v>
      </c>
      <c r="AQ21" s="8">
        <v>1</v>
      </c>
      <c r="AS21" s="33" t="b">
        <f t="shared" si="0"/>
        <v>0</v>
      </c>
      <c r="AT21" s="34" t="b">
        <f t="shared" si="1"/>
        <v>0</v>
      </c>
      <c r="AU21" s="34" t="b">
        <f t="shared" si="2"/>
        <v>0</v>
      </c>
      <c r="AV21" s="34" t="b">
        <f t="shared" si="3"/>
        <v>0</v>
      </c>
      <c r="AW21" s="35" t="b">
        <f t="shared" si="4"/>
        <v>0</v>
      </c>
      <c r="AX21" s="34" t="b">
        <f t="shared" si="5"/>
        <v>0</v>
      </c>
      <c r="AY21" s="34" t="b">
        <f t="shared" si="6"/>
        <v>0</v>
      </c>
      <c r="AZ21" s="34" t="b">
        <f t="shared" si="7"/>
        <v>0</v>
      </c>
      <c r="BA21" s="34" t="b">
        <f t="shared" si="8"/>
        <v>0</v>
      </c>
      <c r="BB21" s="36" t="b">
        <f t="shared" si="9"/>
        <v>0</v>
      </c>
    </row>
    <row r="22" spans="1:54" ht="30" customHeight="1" thickBot="1" x14ac:dyDescent="0.25">
      <c r="A22" s="200"/>
      <c r="B22" s="200"/>
      <c r="C22" s="200"/>
      <c r="D22" s="200"/>
      <c r="E22" s="200"/>
      <c r="F22" s="200"/>
      <c r="G22" s="200">
        <v>1</v>
      </c>
      <c r="H22" s="200">
        <v>8</v>
      </c>
      <c r="I22" s="53"/>
      <c r="J22" s="54"/>
      <c r="K22" s="54"/>
      <c r="L22" s="54"/>
      <c r="M22" s="55"/>
      <c r="N22" s="56"/>
      <c r="O22" s="54"/>
      <c r="P22" s="54"/>
      <c r="Q22" s="54"/>
      <c r="R22" s="57"/>
      <c r="AH22" s="14">
        <v>1</v>
      </c>
      <c r="AI22" s="15" t="s">
        <v>0</v>
      </c>
      <c r="AJ22" s="15">
        <v>1</v>
      </c>
      <c r="AK22" s="15">
        <v>1</v>
      </c>
      <c r="AL22" s="16">
        <v>1</v>
      </c>
      <c r="AM22" s="15">
        <v>1</v>
      </c>
      <c r="AN22" s="15">
        <v>1</v>
      </c>
      <c r="AO22" s="15">
        <v>1</v>
      </c>
      <c r="AP22" s="15">
        <v>1</v>
      </c>
      <c r="AQ22" s="17">
        <v>1</v>
      </c>
      <c r="AS22" s="58" t="b">
        <f t="shared" si="0"/>
        <v>0</v>
      </c>
      <c r="AT22" s="59" t="b">
        <f t="shared" si="1"/>
        <v>0</v>
      </c>
      <c r="AU22" s="59" t="b">
        <f t="shared" si="2"/>
        <v>0</v>
      </c>
      <c r="AV22" s="59" t="b">
        <f t="shared" si="3"/>
        <v>0</v>
      </c>
      <c r="AW22" s="60" t="b">
        <f t="shared" si="4"/>
        <v>0</v>
      </c>
      <c r="AX22" s="59" t="b">
        <f t="shared" si="5"/>
        <v>0</v>
      </c>
      <c r="AY22" s="59" t="b">
        <f t="shared" si="6"/>
        <v>0</v>
      </c>
      <c r="AZ22" s="59" t="b">
        <f t="shared" si="7"/>
        <v>0</v>
      </c>
      <c r="BA22" s="59" t="b">
        <f t="shared" si="8"/>
        <v>0</v>
      </c>
      <c r="BB22" s="61" t="b">
        <f t="shared" si="9"/>
        <v>0</v>
      </c>
    </row>
    <row r="24" spans="1:54" x14ac:dyDescent="0.2">
      <c r="U24" s="207"/>
      <c r="V24" s="207"/>
      <c r="W24" s="207"/>
      <c r="X24" s="207"/>
      <c r="Y24" s="207"/>
      <c r="Z24" s="207"/>
      <c r="AA24" s="207"/>
      <c r="AB24" s="207"/>
      <c r="AC24" s="207"/>
      <c r="AD24" s="207"/>
    </row>
    <row r="25" spans="1:54" ht="7.5" customHeight="1" x14ac:dyDescent="0.2">
      <c r="I25" s="211" t="str">
        <f>IF(COUNTIF(AS13:BB22, TRUE)=100,"PASS", "")</f>
        <v/>
      </c>
      <c r="J25" s="211"/>
      <c r="K25" s="211"/>
      <c r="L25" s="211"/>
      <c r="M25" s="211"/>
      <c r="N25" s="211"/>
      <c r="O25" s="211"/>
      <c r="P25" s="211"/>
      <c r="Q25" s="211"/>
      <c r="R25" s="211"/>
      <c r="S25"/>
      <c r="T25" s="210"/>
      <c r="U25" s="179"/>
      <c r="V25" s="180"/>
      <c r="W25" s="180"/>
      <c r="X25" s="180"/>
      <c r="Y25" s="180"/>
      <c r="Z25" s="180"/>
      <c r="AA25" s="180"/>
      <c r="AB25" s="180"/>
      <c r="AC25" s="180"/>
      <c r="AD25" s="181"/>
    </row>
    <row r="26" spans="1:54" ht="7.5" customHeight="1" x14ac:dyDescent="0.2">
      <c r="I26" s="211"/>
      <c r="J26" s="211"/>
      <c r="K26" s="211"/>
      <c r="L26" s="211"/>
      <c r="M26" s="211"/>
      <c r="N26" s="211"/>
      <c r="O26" s="211"/>
      <c r="P26" s="211"/>
      <c r="Q26" s="211"/>
      <c r="R26" s="211"/>
      <c r="S26"/>
      <c r="T26" s="210"/>
      <c r="U26" s="182"/>
      <c r="V26" s="183"/>
      <c r="W26" s="183"/>
      <c r="X26" s="183"/>
      <c r="Y26" s="183"/>
      <c r="Z26" s="183"/>
      <c r="AA26" s="183"/>
      <c r="AB26" s="183"/>
      <c r="AC26" s="183"/>
      <c r="AD26" s="184"/>
    </row>
    <row r="27" spans="1:54" ht="7.5" customHeight="1" x14ac:dyDescent="0.2">
      <c r="I27" s="211"/>
      <c r="J27" s="211"/>
      <c r="K27" s="211"/>
      <c r="L27" s="211"/>
      <c r="M27" s="211"/>
      <c r="N27" s="211"/>
      <c r="O27" s="211"/>
      <c r="P27" s="211"/>
      <c r="Q27" s="211"/>
      <c r="R27" s="211"/>
      <c r="S27"/>
      <c r="T27" s="210"/>
      <c r="U27" s="185"/>
      <c r="V27" s="186"/>
      <c r="W27" s="186"/>
      <c r="X27" s="186"/>
      <c r="Y27" s="186"/>
      <c r="Z27" s="186"/>
      <c r="AA27" s="186"/>
      <c r="AB27" s="186"/>
      <c r="AC27" s="186"/>
      <c r="AD27" s="187"/>
      <c r="AE27" s="62"/>
      <c r="AF27" s="62"/>
    </row>
    <row r="28" spans="1:54" ht="7.5" customHeight="1" x14ac:dyDescent="0.2">
      <c r="I28" s="211"/>
      <c r="J28" s="211"/>
      <c r="K28" s="211"/>
      <c r="L28" s="211"/>
      <c r="M28" s="211"/>
      <c r="N28" s="211"/>
      <c r="O28" s="211"/>
      <c r="P28" s="211"/>
      <c r="Q28" s="211"/>
      <c r="R28" s="211"/>
      <c r="S28"/>
      <c r="T28" s="210"/>
      <c r="U28" s="182"/>
      <c r="V28" s="183"/>
      <c r="W28" s="183"/>
      <c r="X28" s="183"/>
      <c r="Y28" s="183"/>
      <c r="Z28" s="183"/>
      <c r="AA28" s="183"/>
      <c r="AB28" s="183"/>
      <c r="AC28" s="183"/>
      <c r="AD28" s="184"/>
    </row>
    <row r="29" spans="1:54" ht="7.5" customHeight="1" x14ac:dyDescent="0.2">
      <c r="S29"/>
      <c r="T29" s="210"/>
      <c r="U29" s="182"/>
      <c r="V29" s="183"/>
      <c r="W29" s="183"/>
      <c r="X29" s="183"/>
      <c r="Y29" s="183"/>
      <c r="Z29" s="183"/>
      <c r="AA29" s="183"/>
      <c r="AB29" s="183"/>
      <c r="AC29" s="183"/>
      <c r="AD29" s="184"/>
    </row>
    <row r="30" spans="1:54" ht="7.5" customHeight="1" x14ac:dyDescent="0.2">
      <c r="S30"/>
      <c r="T30" s="210"/>
      <c r="U30" s="182"/>
      <c r="V30" s="183"/>
      <c r="W30" s="183"/>
      <c r="X30" s="183"/>
      <c r="Y30" s="183"/>
      <c r="Z30" s="183"/>
      <c r="AA30" s="183"/>
      <c r="AB30" s="183"/>
      <c r="AC30" s="183"/>
      <c r="AD30" s="184"/>
    </row>
    <row r="31" spans="1:54" ht="7.5" customHeight="1" x14ac:dyDescent="0.2">
      <c r="S31"/>
      <c r="T31" s="210"/>
      <c r="U31" s="182"/>
      <c r="V31" s="183"/>
      <c r="W31" s="183"/>
      <c r="X31" s="183"/>
      <c r="Y31" s="183"/>
      <c r="Z31" s="183"/>
      <c r="AA31" s="183"/>
      <c r="AB31" s="183"/>
      <c r="AC31" s="183"/>
      <c r="AD31" s="184"/>
    </row>
    <row r="32" spans="1:54" ht="7.5" customHeight="1" x14ac:dyDescent="0.2">
      <c r="S32"/>
      <c r="T32" s="210"/>
      <c r="U32" s="182"/>
      <c r="V32" s="183"/>
      <c r="W32" s="183"/>
      <c r="X32" s="183"/>
      <c r="Y32" s="183"/>
      <c r="Z32" s="183"/>
      <c r="AA32" s="183"/>
      <c r="AB32" s="183"/>
      <c r="AC32" s="183"/>
      <c r="AD32" s="184"/>
    </row>
    <row r="33" spans="9:30" ht="7.5" customHeight="1" x14ac:dyDescent="0.2">
      <c r="S33"/>
      <c r="T33" s="210"/>
      <c r="U33" s="182"/>
      <c r="V33" s="183"/>
      <c r="W33" s="183"/>
      <c r="X33" s="183"/>
      <c r="Y33" s="183"/>
      <c r="Z33" s="183"/>
      <c r="AA33" s="183"/>
      <c r="AB33" s="183"/>
      <c r="AC33" s="183"/>
      <c r="AD33" s="184"/>
    </row>
    <row r="34" spans="9:30" ht="7.5" customHeight="1" x14ac:dyDescent="0.2">
      <c r="S34"/>
      <c r="T34" s="210"/>
      <c r="U34" s="188"/>
      <c r="V34" s="189"/>
      <c r="W34" s="189"/>
      <c r="X34" s="189"/>
      <c r="Y34" s="189"/>
      <c r="Z34" s="189"/>
      <c r="AA34" s="189"/>
      <c r="AB34" s="189"/>
      <c r="AC34" s="189"/>
      <c r="AD34" s="190"/>
    </row>
    <row r="36" spans="9:30" x14ac:dyDescent="0.2">
      <c r="I36" s="18" t="s">
        <v>1</v>
      </c>
    </row>
    <row r="37" spans="9:30" x14ac:dyDescent="0.2">
      <c r="I37" s="18" t="s">
        <v>2</v>
      </c>
    </row>
    <row r="38" spans="9:30" x14ac:dyDescent="0.2">
      <c r="I38" s="18" t="s">
        <v>3</v>
      </c>
    </row>
    <row r="40" spans="9:30" x14ac:dyDescent="0.2">
      <c r="I40" s="205" t="s">
        <v>13</v>
      </c>
      <c r="J40" s="205"/>
      <c r="K40" s="205"/>
      <c r="L40" s="205"/>
      <c r="M40" s="205"/>
      <c r="N40" s="205"/>
      <c r="O40" s="205"/>
      <c r="P40" s="205"/>
      <c r="Q40" s="205"/>
      <c r="R40" s="205"/>
    </row>
    <row r="41" spans="9:30" x14ac:dyDescent="0.2">
      <c r="I41" s="191" t="str">
        <f>version</f>
        <v>v1.1.1</v>
      </c>
      <c r="J41" s="191"/>
      <c r="K41" s="191"/>
      <c r="L41" s="191"/>
      <c r="M41" s="191"/>
      <c r="N41" s="191"/>
      <c r="O41" s="191"/>
      <c r="P41" s="191"/>
      <c r="Q41" s="191"/>
      <c r="R41" s="191"/>
    </row>
    <row r="51" spans="21:30" x14ac:dyDescent="0.2">
      <c r="U51"/>
      <c r="V51"/>
      <c r="W51"/>
      <c r="X51"/>
      <c r="Y51"/>
      <c r="Z51"/>
      <c r="AA51"/>
      <c r="AB51"/>
      <c r="AC51"/>
      <c r="AD51"/>
    </row>
    <row r="52" spans="21:30" x14ac:dyDescent="0.2">
      <c r="U52"/>
      <c r="V52"/>
      <c r="W52"/>
      <c r="X52"/>
      <c r="Y52"/>
      <c r="Z52"/>
      <c r="AA52"/>
      <c r="AB52"/>
      <c r="AC52"/>
      <c r="AD52"/>
    </row>
    <row r="53" spans="21:30" x14ac:dyDescent="0.2">
      <c r="U53"/>
      <c r="V53"/>
      <c r="W53"/>
      <c r="X53"/>
      <c r="Y53"/>
      <c r="Z53"/>
      <c r="AA53"/>
      <c r="AB53"/>
      <c r="AC53"/>
      <c r="AD53"/>
    </row>
  </sheetData>
  <protectedRanges>
    <protectedRange algorithmName="SHA-512" hashValue="XHcNPv0VSwoYaJCeQtj2WDRv6t/4vn8mp7CeCxABhfSdrkP3pgF4oalhajN1y61O+rP5eN4hX4XqXpaQ1cd8kQ==" saltValue="PoK8t2FxuVIrzwMr5EtXiQ==" spinCount="100000" sqref="I13:R22" name="区域1"/>
  </protectedRanges>
  <mergeCells count="5">
    <mergeCell ref="T25:T34"/>
    <mergeCell ref="U24:AD24"/>
    <mergeCell ref="I40:R40"/>
    <mergeCell ref="A1:P3"/>
    <mergeCell ref="I25:R28"/>
  </mergeCells>
  <phoneticPr fontId="1" type="noConversion"/>
  <conditionalFormatting sqref="I13:R22">
    <cfRule type="cellIs" dxfId="9" priority="3" operator="equal">
      <formula>"x"</formula>
    </cfRule>
    <cfRule type="cellIs" dxfId="8" priority="4" operator="equal">
      <formula>1</formula>
    </cfRule>
  </conditionalFormatting>
  <conditionalFormatting sqref="AH13:AQ22">
    <cfRule type="expression" dxfId="7" priority="9">
      <formula>I13=AH13</formula>
    </cfRule>
  </conditionalFormatting>
  <conditionalFormatting sqref="U25:AD34">
    <cfRule type="cellIs" dxfId="6" priority="2" operator="equal">
      <formula>1</formula>
    </cfRule>
  </conditionalFormatting>
  <conditionalFormatting sqref="I5:R12 A13:H22">
    <cfRule type="expression" dxfId="5" priority="1">
      <formula>AND((CELL("row")&gt;=13)*(CELL("row")&lt;13+10)*(CELL("col")&gt;=9)*(CELL("col")&lt;9+10), (CELL("row")=ROW())+(CELL("col")=COLUMN()))</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6E52E-B8C6-4F74-AC25-457A1204E99F}">
  <sheetPr codeName="Sheet7"/>
  <dimension ref="A1:BW68"/>
  <sheetViews>
    <sheetView showGridLines="0" zoomScaleNormal="100" workbookViewId="0">
      <selection sqref="A1:P3"/>
    </sheetView>
  </sheetViews>
  <sheetFormatPr defaultRowHeight="14.25" x14ac:dyDescent="0.2"/>
  <cols>
    <col min="1" max="8" width="2.375" style="18" customWidth="1"/>
    <col min="9" max="23" width="5" style="18" customWidth="1"/>
    <col min="24" max="24" width="9" style="18" customWidth="1"/>
    <col min="25" max="25" width="2.375" style="18" customWidth="1"/>
    <col min="26" max="40" width="1.25" style="18" customWidth="1"/>
    <col min="41" max="42" width="9" style="18"/>
    <col min="43" max="43" width="9" style="18" hidden="1" customWidth="1"/>
    <col min="44" max="58" width="5" style="18" hidden="1" customWidth="1"/>
    <col min="59" max="59" width="9" style="18" hidden="1" customWidth="1"/>
    <col min="60" max="74" width="5" style="18" hidden="1" customWidth="1"/>
    <col min="75" max="75" width="9" style="18" hidden="1" customWidth="1"/>
    <col min="76" max="16384" width="9" style="18"/>
  </cols>
  <sheetData>
    <row r="1" spans="1:74" s="128" customFormat="1" ht="14.25" customHeight="1" x14ac:dyDescent="0.2">
      <c r="A1" s="206" t="s">
        <v>12</v>
      </c>
      <c r="B1" s="206"/>
      <c r="C1" s="206"/>
      <c r="D1" s="206"/>
      <c r="E1" s="206"/>
      <c r="F1" s="206"/>
      <c r="G1" s="206"/>
      <c r="H1" s="206"/>
      <c r="I1" s="206"/>
      <c r="J1" s="206"/>
      <c r="K1" s="206"/>
      <c r="L1" s="206"/>
      <c r="M1" s="206"/>
      <c r="N1" s="206"/>
      <c r="O1" s="206"/>
      <c r="P1" s="206"/>
      <c r="Q1" s="178"/>
      <c r="R1" s="178"/>
      <c r="S1" s="178"/>
      <c r="T1" s="178"/>
      <c r="U1" s="178"/>
      <c r="V1" s="178"/>
      <c r="W1" s="178"/>
      <c r="X1" s="129"/>
      <c r="Y1" s="129"/>
      <c r="Z1" s="129"/>
      <c r="AA1" s="129"/>
      <c r="AB1" s="129"/>
      <c r="AC1" s="129"/>
      <c r="AD1" s="129"/>
      <c r="AE1" s="129"/>
      <c r="AF1" s="129"/>
      <c r="AG1" s="129"/>
      <c r="AH1" s="129"/>
      <c r="AI1" s="129"/>
      <c r="AJ1" s="129"/>
      <c r="AK1" s="129"/>
      <c r="AL1" s="129"/>
      <c r="AM1" s="129"/>
      <c r="AN1" s="129"/>
      <c r="AO1" s="129"/>
      <c r="AP1" s="129"/>
    </row>
    <row r="2" spans="1:74" s="128" customFormat="1" ht="14.25" customHeight="1" x14ac:dyDescent="0.2">
      <c r="A2" s="206"/>
      <c r="B2" s="206"/>
      <c r="C2" s="206"/>
      <c r="D2" s="206"/>
      <c r="E2" s="206"/>
      <c r="F2" s="206"/>
      <c r="G2" s="206"/>
      <c r="H2" s="206"/>
      <c r="I2" s="206"/>
      <c r="J2" s="206"/>
      <c r="K2" s="206"/>
      <c r="L2" s="206"/>
      <c r="M2" s="206"/>
      <c r="N2" s="206"/>
      <c r="O2" s="206"/>
      <c r="P2" s="206"/>
      <c r="Q2" s="178"/>
      <c r="R2" s="178"/>
      <c r="S2" s="178"/>
      <c r="T2" s="178"/>
      <c r="U2" s="178"/>
      <c r="V2" s="178"/>
      <c r="W2" s="178"/>
      <c r="X2" s="129"/>
      <c r="Y2" s="129"/>
      <c r="Z2" s="129"/>
      <c r="AA2" s="129"/>
      <c r="AB2" s="129"/>
      <c r="AC2" s="129"/>
      <c r="AD2" s="129"/>
      <c r="AE2" s="129"/>
      <c r="AF2" s="129"/>
      <c r="AG2" s="129"/>
      <c r="AH2" s="129"/>
      <c r="AI2" s="129"/>
      <c r="AJ2" s="129"/>
      <c r="AK2" s="129"/>
      <c r="AL2" s="129"/>
      <c r="AM2" s="129"/>
      <c r="AN2" s="129"/>
      <c r="AO2" s="129"/>
      <c r="AP2" s="129"/>
    </row>
    <row r="3" spans="1:74" s="128" customFormat="1" ht="14.25" customHeight="1" x14ac:dyDescent="0.2">
      <c r="A3" s="206"/>
      <c r="B3" s="206"/>
      <c r="C3" s="206"/>
      <c r="D3" s="206"/>
      <c r="E3" s="206"/>
      <c r="F3" s="206"/>
      <c r="G3" s="206"/>
      <c r="H3" s="206"/>
      <c r="I3" s="206"/>
      <c r="J3" s="206"/>
      <c r="K3" s="206"/>
      <c r="L3" s="206"/>
      <c r="M3" s="206"/>
      <c r="N3" s="206"/>
      <c r="O3" s="206"/>
      <c r="P3" s="206"/>
      <c r="Q3" s="178"/>
      <c r="R3" s="178"/>
      <c r="S3" s="178"/>
      <c r="T3" s="178"/>
      <c r="U3" s="178"/>
      <c r="V3" s="178"/>
      <c r="W3" s="178"/>
      <c r="X3" s="129"/>
      <c r="Y3" s="129"/>
      <c r="Z3" s="129"/>
      <c r="AA3" s="129"/>
      <c r="AB3" s="129"/>
      <c r="AC3" s="129"/>
      <c r="AD3" s="129"/>
      <c r="AE3" s="129"/>
      <c r="AF3" s="129"/>
      <c r="AG3" s="129"/>
      <c r="AH3" s="129"/>
      <c r="AI3" s="129"/>
      <c r="AJ3" s="129"/>
      <c r="AK3" s="129"/>
      <c r="AL3" s="129"/>
      <c r="AM3" s="129"/>
      <c r="AN3" s="129"/>
      <c r="AO3" s="129"/>
      <c r="AP3" s="129"/>
    </row>
    <row r="4" spans="1:74" s="128" customFormat="1" ht="32.25" customHeight="1" x14ac:dyDescent="0.2"/>
    <row r="5" spans="1:74" s="127" customFormat="1" x14ac:dyDescent="0.2">
      <c r="I5" s="200"/>
      <c r="J5" s="200"/>
      <c r="K5" s="200"/>
      <c r="L5" s="200"/>
      <c r="M5" s="200"/>
      <c r="N5" s="200"/>
      <c r="O5" s="200"/>
      <c r="P5" s="200"/>
      <c r="Q5" s="200"/>
      <c r="R5" s="200"/>
      <c r="S5" s="200"/>
      <c r="T5" s="200"/>
      <c r="U5" s="200"/>
      <c r="V5" s="200"/>
      <c r="W5" s="200"/>
    </row>
    <row r="6" spans="1:74" x14ac:dyDescent="0.2">
      <c r="I6" s="200"/>
      <c r="J6" s="200"/>
      <c r="K6" s="200"/>
      <c r="L6" s="200"/>
      <c r="M6" s="200"/>
      <c r="N6" s="200"/>
      <c r="O6" s="200"/>
      <c r="P6" s="200"/>
      <c r="Q6" s="200"/>
      <c r="R6" s="200"/>
      <c r="S6" s="200"/>
      <c r="T6" s="200"/>
      <c r="U6" s="200"/>
      <c r="V6" s="200"/>
      <c r="W6" s="200"/>
    </row>
    <row r="7" spans="1:74" x14ac:dyDescent="0.2">
      <c r="I7" s="200"/>
      <c r="J7" s="200"/>
      <c r="K7" s="200"/>
      <c r="L7" s="200"/>
      <c r="M7" s="200">
        <v>2</v>
      </c>
      <c r="N7" s="200"/>
      <c r="O7" s="200"/>
      <c r="P7" s="200"/>
      <c r="Q7" s="200"/>
      <c r="R7" s="200"/>
      <c r="S7" s="200"/>
      <c r="T7" s="200"/>
      <c r="U7" s="200"/>
      <c r="V7" s="200"/>
      <c r="W7" s="200"/>
    </row>
    <row r="8" spans="1:74" x14ac:dyDescent="0.2">
      <c r="I8" s="200"/>
      <c r="J8" s="200"/>
      <c r="K8" s="200"/>
      <c r="L8" s="200"/>
      <c r="M8" s="200">
        <v>1</v>
      </c>
      <c r="N8" s="200"/>
      <c r="O8" s="200">
        <v>3</v>
      </c>
      <c r="P8" s="200"/>
      <c r="Q8" s="200"/>
      <c r="R8" s="200">
        <v>1</v>
      </c>
      <c r="S8" s="200"/>
      <c r="T8" s="200"/>
      <c r="U8" s="200"/>
      <c r="V8" s="200"/>
      <c r="W8" s="200"/>
    </row>
    <row r="9" spans="1:74" x14ac:dyDescent="0.2">
      <c r="I9" s="200">
        <v>2</v>
      </c>
      <c r="J9" s="200"/>
      <c r="K9" s="200">
        <v>1</v>
      </c>
      <c r="L9" s="200">
        <v>1</v>
      </c>
      <c r="M9" s="200">
        <v>1</v>
      </c>
      <c r="N9" s="200"/>
      <c r="O9" s="200">
        <v>1</v>
      </c>
      <c r="P9" s="200"/>
      <c r="Q9" s="200"/>
      <c r="R9" s="200">
        <v>3</v>
      </c>
      <c r="S9" s="200"/>
      <c r="T9" s="200"/>
      <c r="U9" s="200">
        <v>2</v>
      </c>
      <c r="V9" s="200"/>
      <c r="W9" s="200">
        <v>5</v>
      </c>
    </row>
    <row r="10" spans="1:74" x14ac:dyDescent="0.2">
      <c r="I10" s="200">
        <v>2</v>
      </c>
      <c r="J10" s="200"/>
      <c r="K10" s="200">
        <v>2</v>
      </c>
      <c r="L10" s="200">
        <v>1</v>
      </c>
      <c r="M10" s="200">
        <v>2</v>
      </c>
      <c r="N10" s="200">
        <v>4</v>
      </c>
      <c r="O10" s="200">
        <v>1</v>
      </c>
      <c r="P10" s="200">
        <v>2</v>
      </c>
      <c r="Q10" s="200"/>
      <c r="R10" s="200">
        <v>1</v>
      </c>
      <c r="S10" s="200">
        <v>6</v>
      </c>
      <c r="T10" s="200">
        <v>3</v>
      </c>
      <c r="U10" s="200">
        <v>4</v>
      </c>
      <c r="V10" s="200">
        <v>1</v>
      </c>
      <c r="W10" s="200">
        <v>2</v>
      </c>
    </row>
    <row r="11" spans="1:74" x14ac:dyDescent="0.2">
      <c r="I11" s="200">
        <v>3</v>
      </c>
      <c r="J11" s="200"/>
      <c r="K11" s="200">
        <v>3</v>
      </c>
      <c r="L11" s="200">
        <v>5</v>
      </c>
      <c r="M11" s="200">
        <v>1</v>
      </c>
      <c r="N11" s="200">
        <v>1</v>
      </c>
      <c r="O11" s="200">
        <v>5</v>
      </c>
      <c r="P11" s="200">
        <v>5</v>
      </c>
      <c r="Q11" s="200">
        <v>12</v>
      </c>
      <c r="R11" s="200">
        <v>5</v>
      </c>
      <c r="S11" s="200">
        <v>3</v>
      </c>
      <c r="T11" s="200">
        <v>1</v>
      </c>
      <c r="U11" s="200">
        <v>2</v>
      </c>
      <c r="V11" s="200">
        <v>1</v>
      </c>
      <c r="W11" s="200">
        <v>1</v>
      </c>
    </row>
    <row r="12" spans="1:74" ht="14.25" customHeight="1" thickBot="1" x14ac:dyDescent="0.25">
      <c r="I12" s="200">
        <v>3</v>
      </c>
      <c r="J12" s="200">
        <v>15</v>
      </c>
      <c r="K12" s="200">
        <v>3</v>
      </c>
      <c r="L12" s="200">
        <v>3</v>
      </c>
      <c r="M12" s="200">
        <v>2</v>
      </c>
      <c r="N12" s="200">
        <v>3</v>
      </c>
      <c r="O12" s="200">
        <v>1</v>
      </c>
      <c r="P12" s="200">
        <v>4</v>
      </c>
      <c r="Q12" s="200">
        <v>1</v>
      </c>
      <c r="R12" s="200">
        <v>1</v>
      </c>
      <c r="S12" s="200">
        <v>4</v>
      </c>
      <c r="T12" s="200">
        <v>5</v>
      </c>
      <c r="U12" s="200">
        <v>4</v>
      </c>
      <c r="V12" s="200">
        <v>10</v>
      </c>
      <c r="W12" s="200">
        <v>1</v>
      </c>
    </row>
    <row r="13" spans="1:74" ht="30" customHeight="1" x14ac:dyDescent="0.2">
      <c r="A13" s="200"/>
      <c r="B13" s="200"/>
      <c r="C13" s="200"/>
      <c r="D13" s="200"/>
      <c r="E13" s="200"/>
      <c r="F13" s="200">
        <v>2</v>
      </c>
      <c r="G13" s="200">
        <v>7</v>
      </c>
      <c r="H13" s="200">
        <v>2</v>
      </c>
      <c r="I13" s="19"/>
      <c r="J13" s="20"/>
      <c r="K13" s="20"/>
      <c r="L13" s="20"/>
      <c r="M13" s="21"/>
      <c r="N13" s="22"/>
      <c r="O13" s="20"/>
      <c r="P13" s="20"/>
      <c r="Q13" s="20"/>
      <c r="R13" s="130"/>
      <c r="S13" s="171"/>
      <c r="T13" s="20"/>
      <c r="U13" s="20"/>
      <c r="V13" s="20"/>
      <c r="W13" s="23"/>
      <c r="AR13" s="1" t="s">
        <v>0</v>
      </c>
      <c r="AS13" s="2">
        <v>1</v>
      </c>
      <c r="AT13" s="2">
        <v>1</v>
      </c>
      <c r="AU13" s="2" t="s">
        <v>0</v>
      </c>
      <c r="AV13" s="3">
        <v>1</v>
      </c>
      <c r="AW13" s="2">
        <v>1</v>
      </c>
      <c r="AX13" s="2">
        <v>1</v>
      </c>
      <c r="AY13" s="2">
        <v>1</v>
      </c>
      <c r="AZ13" s="2">
        <v>1</v>
      </c>
      <c r="BA13" s="2">
        <v>1</v>
      </c>
      <c r="BB13" s="158">
        <v>1</v>
      </c>
      <c r="BC13" s="2" t="s">
        <v>0</v>
      </c>
      <c r="BD13" s="2">
        <v>1</v>
      </c>
      <c r="BE13" s="2">
        <v>1</v>
      </c>
      <c r="BF13" s="4" t="s">
        <v>0</v>
      </c>
      <c r="BH13" s="24" t="b">
        <f t="shared" ref="BH13:BH27" si="0">I13=AR13</f>
        <v>0</v>
      </c>
      <c r="BI13" s="25" t="b">
        <f t="shared" ref="BI13:BI27" si="1">J13=AS13</f>
        <v>0</v>
      </c>
      <c r="BJ13" s="25" t="b">
        <f t="shared" ref="BJ13:BJ27" si="2">K13=AT13</f>
        <v>0</v>
      </c>
      <c r="BK13" s="25" t="b">
        <f t="shared" ref="BK13:BK27" si="3">L13=AU13</f>
        <v>0</v>
      </c>
      <c r="BL13" s="26" t="b">
        <f t="shared" ref="BL13:BL27" si="4">M13=AV13</f>
        <v>0</v>
      </c>
      <c r="BM13" s="25" t="b">
        <f t="shared" ref="BM13:BM27" si="5">N13=AW13</f>
        <v>0</v>
      </c>
      <c r="BN13" s="25" t="b">
        <f t="shared" ref="BN13:BN27" si="6">O13=AX13</f>
        <v>0</v>
      </c>
      <c r="BO13" s="25" t="b">
        <f t="shared" ref="BO13:BO27" si="7">P13=AY13</f>
        <v>0</v>
      </c>
      <c r="BP13" s="25" t="b">
        <f t="shared" ref="BP13:BP27" si="8">Q13=AZ13</f>
        <v>0</v>
      </c>
      <c r="BQ13" s="25" t="b">
        <f t="shared" ref="BQ13:BQ27" si="9">R13=BA13</f>
        <v>0</v>
      </c>
      <c r="BR13" s="148" t="b">
        <f t="shared" ref="BR13:BR27" si="10">S13=BB13</f>
        <v>0</v>
      </c>
      <c r="BS13" s="25" t="b">
        <f t="shared" ref="BS13:BS27" si="11">T13=BC13</f>
        <v>0</v>
      </c>
      <c r="BT13" s="25" t="b">
        <f t="shared" ref="BT13:BT27" si="12">U13=BD13</f>
        <v>0</v>
      </c>
      <c r="BU13" s="25" t="b">
        <f t="shared" ref="BU13:BU27" si="13">V13=BE13</f>
        <v>0</v>
      </c>
      <c r="BV13" s="27" t="b">
        <f t="shared" ref="BV13:BV27" si="14">W13=BF13</f>
        <v>0</v>
      </c>
    </row>
    <row r="14" spans="1:74" ht="30" customHeight="1" x14ac:dyDescent="0.2">
      <c r="A14" s="200"/>
      <c r="B14" s="200"/>
      <c r="C14" s="200"/>
      <c r="D14" s="200">
        <v>2</v>
      </c>
      <c r="E14" s="200">
        <v>6</v>
      </c>
      <c r="F14" s="200">
        <v>1</v>
      </c>
      <c r="G14" s="200">
        <v>1</v>
      </c>
      <c r="H14" s="200">
        <v>1</v>
      </c>
      <c r="I14" s="28"/>
      <c r="J14" s="29"/>
      <c r="K14" s="29"/>
      <c r="L14" s="29"/>
      <c r="M14" s="30"/>
      <c r="N14" s="31"/>
      <c r="O14" s="29"/>
      <c r="P14" s="29"/>
      <c r="Q14" s="29"/>
      <c r="R14" s="131"/>
      <c r="S14" s="172"/>
      <c r="T14" s="29"/>
      <c r="U14" s="29"/>
      <c r="V14" s="29"/>
      <c r="W14" s="32"/>
      <c r="AR14" s="5">
        <v>1</v>
      </c>
      <c r="AS14" s="6">
        <v>1</v>
      </c>
      <c r="AT14" s="6" t="s">
        <v>0</v>
      </c>
      <c r="AU14" s="6">
        <v>1</v>
      </c>
      <c r="AV14" s="7">
        <v>1</v>
      </c>
      <c r="AW14" s="6">
        <v>1</v>
      </c>
      <c r="AX14" s="6">
        <v>1</v>
      </c>
      <c r="AY14" s="6">
        <v>1</v>
      </c>
      <c r="AZ14" s="6">
        <v>1</v>
      </c>
      <c r="BA14" s="6" t="s">
        <v>0</v>
      </c>
      <c r="BB14" s="159">
        <v>1</v>
      </c>
      <c r="BC14" s="6" t="s">
        <v>0</v>
      </c>
      <c r="BD14" s="6">
        <v>1</v>
      </c>
      <c r="BE14" s="6" t="s">
        <v>0</v>
      </c>
      <c r="BF14" s="8">
        <v>1</v>
      </c>
      <c r="BH14" s="33" t="b">
        <f t="shared" si="0"/>
        <v>0</v>
      </c>
      <c r="BI14" s="34" t="b">
        <f t="shared" si="1"/>
        <v>0</v>
      </c>
      <c r="BJ14" s="34" t="b">
        <f t="shared" si="2"/>
        <v>0</v>
      </c>
      <c r="BK14" s="34" t="b">
        <f t="shared" si="3"/>
        <v>0</v>
      </c>
      <c r="BL14" s="35" t="b">
        <f t="shared" si="4"/>
        <v>0</v>
      </c>
      <c r="BM14" s="34" t="b">
        <f t="shared" si="5"/>
        <v>0</v>
      </c>
      <c r="BN14" s="34" t="b">
        <f t="shared" si="6"/>
        <v>0</v>
      </c>
      <c r="BO14" s="34" t="b">
        <f t="shared" si="7"/>
        <v>0</v>
      </c>
      <c r="BP14" s="34" t="b">
        <f t="shared" si="8"/>
        <v>0</v>
      </c>
      <c r="BQ14" s="34" t="b">
        <f t="shared" si="9"/>
        <v>0</v>
      </c>
      <c r="BR14" s="149" t="b">
        <f t="shared" si="10"/>
        <v>0</v>
      </c>
      <c r="BS14" s="34" t="b">
        <f t="shared" si="11"/>
        <v>0</v>
      </c>
      <c r="BT14" s="34" t="b">
        <f t="shared" si="12"/>
        <v>0</v>
      </c>
      <c r="BU14" s="34" t="b">
        <f t="shared" si="13"/>
        <v>0</v>
      </c>
      <c r="BV14" s="36" t="b">
        <f t="shared" si="14"/>
        <v>0</v>
      </c>
    </row>
    <row r="15" spans="1:74" ht="30" customHeight="1" x14ac:dyDescent="0.2">
      <c r="A15" s="200"/>
      <c r="B15" s="200"/>
      <c r="C15" s="200"/>
      <c r="D15" s="200"/>
      <c r="E15" s="200">
        <v>2</v>
      </c>
      <c r="F15" s="200">
        <v>2</v>
      </c>
      <c r="G15" s="200">
        <v>3</v>
      </c>
      <c r="H15" s="200">
        <v>2</v>
      </c>
      <c r="I15" s="28"/>
      <c r="J15" s="29"/>
      <c r="K15" s="29"/>
      <c r="L15" s="29"/>
      <c r="M15" s="30"/>
      <c r="N15" s="31"/>
      <c r="O15" s="29"/>
      <c r="P15" s="29"/>
      <c r="Q15" s="29"/>
      <c r="R15" s="131"/>
      <c r="S15" s="172"/>
      <c r="T15" s="29"/>
      <c r="U15" s="29"/>
      <c r="V15" s="29"/>
      <c r="W15" s="32"/>
      <c r="AR15" s="5">
        <v>1</v>
      </c>
      <c r="AS15" s="6">
        <v>1</v>
      </c>
      <c r="AT15" s="6" t="s">
        <v>0</v>
      </c>
      <c r="AU15" s="6" t="s">
        <v>0</v>
      </c>
      <c r="AV15" s="7" t="s">
        <v>0</v>
      </c>
      <c r="AW15" s="6">
        <v>1</v>
      </c>
      <c r="AX15" s="6">
        <v>1</v>
      </c>
      <c r="AY15" s="6" t="s">
        <v>0</v>
      </c>
      <c r="AZ15" s="6">
        <v>1</v>
      </c>
      <c r="BA15" s="6">
        <v>1</v>
      </c>
      <c r="BB15" s="160">
        <v>1</v>
      </c>
      <c r="BC15" s="9" t="s">
        <v>0</v>
      </c>
      <c r="BD15" s="9" t="s">
        <v>0</v>
      </c>
      <c r="BE15" s="9">
        <v>1</v>
      </c>
      <c r="BF15" s="8">
        <v>1</v>
      </c>
      <c r="BH15" s="33" t="b">
        <f t="shared" si="0"/>
        <v>0</v>
      </c>
      <c r="BI15" s="34" t="b">
        <f t="shared" si="1"/>
        <v>0</v>
      </c>
      <c r="BJ15" s="34" t="b">
        <f t="shared" si="2"/>
        <v>0</v>
      </c>
      <c r="BK15" s="34" t="b">
        <f t="shared" si="3"/>
        <v>0</v>
      </c>
      <c r="BL15" s="35" t="b">
        <f t="shared" si="4"/>
        <v>0</v>
      </c>
      <c r="BM15" s="34" t="b">
        <f t="shared" si="5"/>
        <v>0</v>
      </c>
      <c r="BN15" s="34" t="b">
        <f t="shared" si="6"/>
        <v>0</v>
      </c>
      <c r="BO15" s="34" t="b">
        <f t="shared" si="7"/>
        <v>0</v>
      </c>
      <c r="BP15" s="34" t="b">
        <f t="shared" si="8"/>
        <v>0</v>
      </c>
      <c r="BQ15" s="34" t="b">
        <f t="shared" si="9"/>
        <v>0</v>
      </c>
      <c r="BR15" s="149" t="b">
        <f t="shared" si="10"/>
        <v>0</v>
      </c>
      <c r="BS15" s="34" t="b">
        <f t="shared" si="11"/>
        <v>0</v>
      </c>
      <c r="BT15" s="34" t="b">
        <f t="shared" si="12"/>
        <v>0</v>
      </c>
      <c r="BU15" s="34" t="b">
        <f t="shared" si="13"/>
        <v>0</v>
      </c>
      <c r="BV15" s="36" t="b">
        <f t="shared" si="14"/>
        <v>0</v>
      </c>
    </row>
    <row r="16" spans="1:74" ht="30" customHeight="1" x14ac:dyDescent="0.2">
      <c r="A16" s="200"/>
      <c r="B16" s="200"/>
      <c r="C16" s="200"/>
      <c r="D16" s="200"/>
      <c r="E16" s="200">
        <v>5</v>
      </c>
      <c r="F16" s="200">
        <v>4</v>
      </c>
      <c r="G16" s="200">
        <v>1</v>
      </c>
      <c r="H16" s="200">
        <v>1</v>
      </c>
      <c r="I16" s="28"/>
      <c r="J16" s="29"/>
      <c r="K16" s="29"/>
      <c r="L16" s="29"/>
      <c r="M16" s="30"/>
      <c r="N16" s="31"/>
      <c r="O16" s="29"/>
      <c r="P16" s="29"/>
      <c r="Q16" s="29"/>
      <c r="R16" s="131"/>
      <c r="S16" s="172"/>
      <c r="T16" s="29"/>
      <c r="U16" s="29"/>
      <c r="V16" s="29"/>
      <c r="W16" s="32"/>
      <c r="AR16" s="5" t="s">
        <v>0</v>
      </c>
      <c r="AS16" s="6">
        <v>1</v>
      </c>
      <c r="AT16" s="6">
        <v>1</v>
      </c>
      <c r="AU16" s="6">
        <v>1</v>
      </c>
      <c r="AV16" s="7">
        <v>1</v>
      </c>
      <c r="AW16" s="6">
        <v>1</v>
      </c>
      <c r="AX16" s="6" t="s">
        <v>0</v>
      </c>
      <c r="AY16" s="6">
        <v>1</v>
      </c>
      <c r="AZ16" s="6">
        <v>1</v>
      </c>
      <c r="BA16" s="6">
        <v>1</v>
      </c>
      <c r="BB16" s="159">
        <v>1</v>
      </c>
      <c r="BC16" s="6" t="s">
        <v>0</v>
      </c>
      <c r="BD16" s="6">
        <v>1</v>
      </c>
      <c r="BE16" s="6" t="s">
        <v>0</v>
      </c>
      <c r="BF16" s="8">
        <v>1</v>
      </c>
      <c r="BH16" s="33" t="b">
        <f t="shared" si="0"/>
        <v>0</v>
      </c>
      <c r="BI16" s="34" t="b">
        <f t="shared" si="1"/>
        <v>0</v>
      </c>
      <c r="BJ16" s="34" t="b">
        <f t="shared" si="2"/>
        <v>0</v>
      </c>
      <c r="BK16" s="34" t="b">
        <f t="shared" si="3"/>
        <v>0</v>
      </c>
      <c r="BL16" s="35" t="b">
        <f t="shared" si="4"/>
        <v>0</v>
      </c>
      <c r="BM16" s="34" t="b">
        <f t="shared" si="5"/>
        <v>0</v>
      </c>
      <c r="BN16" s="34" t="b">
        <f t="shared" si="6"/>
        <v>0</v>
      </c>
      <c r="BO16" s="34" t="b">
        <f t="shared" si="7"/>
        <v>0</v>
      </c>
      <c r="BP16" s="34" t="b">
        <f t="shared" si="8"/>
        <v>0</v>
      </c>
      <c r="BQ16" s="34" t="b">
        <f t="shared" si="9"/>
        <v>0</v>
      </c>
      <c r="BR16" s="149" t="b">
        <f t="shared" si="10"/>
        <v>0</v>
      </c>
      <c r="BS16" s="34" t="b">
        <f t="shared" si="11"/>
        <v>0</v>
      </c>
      <c r="BT16" s="34" t="b">
        <f t="shared" si="12"/>
        <v>0</v>
      </c>
      <c r="BU16" s="34" t="b">
        <f t="shared" si="13"/>
        <v>0</v>
      </c>
      <c r="BV16" s="36" t="b">
        <f t="shared" si="14"/>
        <v>0</v>
      </c>
    </row>
    <row r="17" spans="1:74" ht="30" customHeight="1" x14ac:dyDescent="0.2">
      <c r="A17" s="200"/>
      <c r="B17" s="200"/>
      <c r="C17" s="200"/>
      <c r="D17" s="200"/>
      <c r="E17" s="200"/>
      <c r="F17" s="200"/>
      <c r="G17" s="200">
        <v>3</v>
      </c>
      <c r="H17" s="200">
        <v>9</v>
      </c>
      <c r="I17" s="37"/>
      <c r="J17" s="38"/>
      <c r="K17" s="38"/>
      <c r="L17" s="38"/>
      <c r="M17" s="39"/>
      <c r="N17" s="40"/>
      <c r="O17" s="38"/>
      <c r="P17" s="38"/>
      <c r="Q17" s="38"/>
      <c r="R17" s="132"/>
      <c r="S17" s="173"/>
      <c r="T17" s="38"/>
      <c r="U17" s="38"/>
      <c r="V17" s="38"/>
      <c r="W17" s="41"/>
      <c r="AR17" s="10">
        <v>1</v>
      </c>
      <c r="AS17" s="11">
        <v>1</v>
      </c>
      <c r="AT17" s="136">
        <v>1</v>
      </c>
      <c r="AU17" s="11" t="s">
        <v>0</v>
      </c>
      <c r="AV17" s="137" t="s">
        <v>0</v>
      </c>
      <c r="AW17" s="136" t="s">
        <v>0</v>
      </c>
      <c r="AX17" s="136">
        <v>1</v>
      </c>
      <c r="AY17" s="136">
        <v>1</v>
      </c>
      <c r="AZ17" s="136">
        <v>1</v>
      </c>
      <c r="BA17" s="136">
        <v>1</v>
      </c>
      <c r="BB17" s="161">
        <v>1</v>
      </c>
      <c r="BC17" s="136">
        <v>1</v>
      </c>
      <c r="BD17" s="136">
        <v>1</v>
      </c>
      <c r="BE17" s="136">
        <v>1</v>
      </c>
      <c r="BF17" s="13">
        <v>1</v>
      </c>
      <c r="BH17" s="42" t="b">
        <f t="shared" si="0"/>
        <v>0</v>
      </c>
      <c r="BI17" s="43" t="b">
        <f t="shared" si="1"/>
        <v>0</v>
      </c>
      <c r="BJ17" s="43" t="b">
        <f t="shared" si="2"/>
        <v>0</v>
      </c>
      <c r="BK17" s="43" t="b">
        <f t="shared" si="3"/>
        <v>0</v>
      </c>
      <c r="BL17" s="44" t="b">
        <f t="shared" si="4"/>
        <v>0</v>
      </c>
      <c r="BM17" s="43" t="b">
        <f t="shared" si="5"/>
        <v>0</v>
      </c>
      <c r="BN17" s="43" t="b">
        <f t="shared" si="6"/>
        <v>0</v>
      </c>
      <c r="BO17" s="43" t="b">
        <f t="shared" si="7"/>
        <v>0</v>
      </c>
      <c r="BP17" s="43" t="b">
        <f t="shared" si="8"/>
        <v>0</v>
      </c>
      <c r="BQ17" s="43" t="b">
        <f t="shared" si="9"/>
        <v>0</v>
      </c>
      <c r="BR17" s="150" t="b">
        <f t="shared" si="10"/>
        <v>0</v>
      </c>
      <c r="BS17" s="43" t="b">
        <f t="shared" si="11"/>
        <v>0</v>
      </c>
      <c r="BT17" s="43" t="b">
        <f t="shared" si="12"/>
        <v>0</v>
      </c>
      <c r="BU17" s="43" t="b">
        <f t="shared" si="13"/>
        <v>0</v>
      </c>
      <c r="BV17" s="45" t="b">
        <f t="shared" si="14"/>
        <v>0</v>
      </c>
    </row>
    <row r="18" spans="1:74" ht="30" customHeight="1" x14ac:dyDescent="0.2">
      <c r="A18" s="200"/>
      <c r="B18" s="200"/>
      <c r="C18" s="200"/>
      <c r="D18" s="200"/>
      <c r="E18" s="200">
        <v>2</v>
      </c>
      <c r="F18" s="200">
        <v>1</v>
      </c>
      <c r="G18" s="200">
        <v>2</v>
      </c>
      <c r="H18" s="200">
        <v>5</v>
      </c>
      <c r="I18" s="138"/>
      <c r="J18" s="139"/>
      <c r="K18" s="139"/>
      <c r="L18" s="139"/>
      <c r="M18" s="140"/>
      <c r="N18" s="141"/>
      <c r="O18" s="139"/>
      <c r="P18" s="139"/>
      <c r="Q18" s="139"/>
      <c r="R18" s="169"/>
      <c r="S18" s="174"/>
      <c r="T18" s="139"/>
      <c r="U18" s="139"/>
      <c r="V18" s="139"/>
      <c r="W18" s="142"/>
      <c r="AR18" s="5">
        <v>1</v>
      </c>
      <c r="AS18" s="6">
        <v>1</v>
      </c>
      <c r="AT18" s="9" t="s">
        <v>0</v>
      </c>
      <c r="AU18" s="6">
        <v>1</v>
      </c>
      <c r="AV18" s="143" t="s">
        <v>0</v>
      </c>
      <c r="AW18" s="9" t="s">
        <v>0</v>
      </c>
      <c r="AX18" s="9" t="s">
        <v>0</v>
      </c>
      <c r="AY18" s="9">
        <v>1</v>
      </c>
      <c r="AZ18" s="9">
        <v>1</v>
      </c>
      <c r="BA18" s="9" t="s">
        <v>0</v>
      </c>
      <c r="BB18" s="160">
        <v>1</v>
      </c>
      <c r="BC18" s="9">
        <v>1</v>
      </c>
      <c r="BD18" s="9">
        <v>1</v>
      </c>
      <c r="BE18" s="9">
        <v>1</v>
      </c>
      <c r="BF18" s="8">
        <v>1</v>
      </c>
      <c r="BH18" s="33" t="b">
        <f t="shared" si="0"/>
        <v>0</v>
      </c>
      <c r="BI18" s="34" t="b">
        <f t="shared" si="1"/>
        <v>0</v>
      </c>
      <c r="BJ18" s="34" t="b">
        <f t="shared" si="2"/>
        <v>0</v>
      </c>
      <c r="BK18" s="34" t="b">
        <f t="shared" si="3"/>
        <v>0</v>
      </c>
      <c r="BL18" s="35" t="b">
        <f t="shared" si="4"/>
        <v>0</v>
      </c>
      <c r="BM18" s="34" t="b">
        <f t="shared" si="5"/>
        <v>0</v>
      </c>
      <c r="BN18" s="34" t="b">
        <f t="shared" si="6"/>
        <v>0</v>
      </c>
      <c r="BO18" s="34" t="b">
        <f t="shared" si="7"/>
        <v>0</v>
      </c>
      <c r="BP18" s="34" t="b">
        <f t="shared" si="8"/>
        <v>0</v>
      </c>
      <c r="BQ18" s="34" t="b">
        <f t="shared" si="9"/>
        <v>0</v>
      </c>
      <c r="BR18" s="149" t="b">
        <f t="shared" si="10"/>
        <v>0</v>
      </c>
      <c r="BS18" s="34" t="b">
        <f t="shared" si="11"/>
        <v>0</v>
      </c>
      <c r="BT18" s="34" t="b">
        <f t="shared" si="12"/>
        <v>0</v>
      </c>
      <c r="BU18" s="34" t="b">
        <f t="shared" si="13"/>
        <v>0</v>
      </c>
      <c r="BV18" s="36" t="b">
        <f t="shared" si="14"/>
        <v>0</v>
      </c>
    </row>
    <row r="19" spans="1:74" ht="30" customHeight="1" x14ac:dyDescent="0.2">
      <c r="A19" s="200"/>
      <c r="B19" s="200"/>
      <c r="C19" s="200"/>
      <c r="D19" s="200"/>
      <c r="E19" s="200"/>
      <c r="F19" s="200">
        <v>1</v>
      </c>
      <c r="G19" s="200">
        <v>7</v>
      </c>
      <c r="H19" s="200">
        <v>3</v>
      </c>
      <c r="I19" s="28"/>
      <c r="J19" s="29"/>
      <c r="K19" s="51"/>
      <c r="L19" s="29"/>
      <c r="M19" s="135"/>
      <c r="N19" s="52"/>
      <c r="O19" s="51"/>
      <c r="P19" s="51"/>
      <c r="Q19" s="51"/>
      <c r="R19" s="133"/>
      <c r="S19" s="176"/>
      <c r="T19" s="51"/>
      <c r="U19" s="51"/>
      <c r="V19" s="51"/>
      <c r="W19" s="32"/>
      <c r="AR19" s="5" t="s">
        <v>0</v>
      </c>
      <c r="AS19" s="6">
        <v>1</v>
      </c>
      <c r="AT19" s="9" t="s">
        <v>0</v>
      </c>
      <c r="AU19" s="6">
        <v>1</v>
      </c>
      <c r="AV19" s="143">
        <v>1</v>
      </c>
      <c r="AW19" s="9">
        <v>1</v>
      </c>
      <c r="AX19" s="9">
        <v>1</v>
      </c>
      <c r="AY19" s="9">
        <v>1</v>
      </c>
      <c r="AZ19" s="9">
        <v>1</v>
      </c>
      <c r="BA19" s="9">
        <v>1</v>
      </c>
      <c r="BB19" s="160" t="s">
        <v>0</v>
      </c>
      <c r="BC19" s="9">
        <v>1</v>
      </c>
      <c r="BD19" s="9">
        <v>1</v>
      </c>
      <c r="BE19" s="9">
        <v>1</v>
      </c>
      <c r="BF19" s="8" t="s">
        <v>0</v>
      </c>
      <c r="BH19" s="33" t="b">
        <f t="shared" si="0"/>
        <v>0</v>
      </c>
      <c r="BI19" s="34" t="b">
        <f t="shared" si="1"/>
        <v>0</v>
      </c>
      <c r="BJ19" s="34" t="b">
        <f t="shared" si="2"/>
        <v>0</v>
      </c>
      <c r="BK19" s="34" t="b">
        <f t="shared" si="3"/>
        <v>0</v>
      </c>
      <c r="BL19" s="35" t="b">
        <f t="shared" si="4"/>
        <v>0</v>
      </c>
      <c r="BM19" s="34" t="b">
        <f t="shared" si="5"/>
        <v>0</v>
      </c>
      <c r="BN19" s="34" t="b">
        <f t="shared" si="6"/>
        <v>0</v>
      </c>
      <c r="BO19" s="34" t="b">
        <f t="shared" si="7"/>
        <v>0</v>
      </c>
      <c r="BP19" s="34" t="b">
        <f t="shared" si="8"/>
        <v>0</v>
      </c>
      <c r="BQ19" s="34" t="b">
        <f t="shared" si="9"/>
        <v>0</v>
      </c>
      <c r="BR19" s="149" t="b">
        <f t="shared" si="10"/>
        <v>0</v>
      </c>
      <c r="BS19" s="34" t="b">
        <f t="shared" si="11"/>
        <v>0</v>
      </c>
      <c r="BT19" s="34" t="b">
        <f t="shared" si="12"/>
        <v>0</v>
      </c>
      <c r="BU19" s="34" t="b">
        <f t="shared" si="13"/>
        <v>0</v>
      </c>
      <c r="BV19" s="36" t="b">
        <f t="shared" si="14"/>
        <v>0</v>
      </c>
    </row>
    <row r="20" spans="1:74" ht="30" customHeight="1" x14ac:dyDescent="0.2">
      <c r="A20" s="200"/>
      <c r="B20" s="200"/>
      <c r="C20" s="200"/>
      <c r="D20" s="200">
        <v>2</v>
      </c>
      <c r="E20" s="200">
        <v>1</v>
      </c>
      <c r="F20" s="200">
        <v>2</v>
      </c>
      <c r="G20" s="200">
        <v>1</v>
      </c>
      <c r="H20" s="200">
        <v>1</v>
      </c>
      <c r="I20" s="28"/>
      <c r="J20" s="29"/>
      <c r="K20" s="51"/>
      <c r="L20" s="29"/>
      <c r="M20" s="135"/>
      <c r="N20" s="52"/>
      <c r="O20" s="51"/>
      <c r="P20" s="51"/>
      <c r="Q20" s="51"/>
      <c r="R20" s="133"/>
      <c r="S20" s="176"/>
      <c r="T20" s="51"/>
      <c r="U20" s="51"/>
      <c r="V20" s="51"/>
      <c r="W20" s="32"/>
      <c r="AR20" s="5">
        <v>1</v>
      </c>
      <c r="AS20" s="6">
        <v>1</v>
      </c>
      <c r="AT20" s="9" t="s">
        <v>0</v>
      </c>
      <c r="AU20" s="6">
        <v>1</v>
      </c>
      <c r="AV20" s="143" t="s">
        <v>0</v>
      </c>
      <c r="AW20" s="9" t="s">
        <v>0</v>
      </c>
      <c r="AX20" s="9" t="s">
        <v>0</v>
      </c>
      <c r="AY20" s="9">
        <v>1</v>
      </c>
      <c r="AZ20" s="9">
        <v>1</v>
      </c>
      <c r="BA20" s="9" t="s">
        <v>0</v>
      </c>
      <c r="BB20" s="160">
        <v>1</v>
      </c>
      <c r="BC20" s="9" t="s">
        <v>0</v>
      </c>
      <c r="BD20" s="9" t="s">
        <v>0</v>
      </c>
      <c r="BE20" s="9">
        <v>1</v>
      </c>
      <c r="BF20" s="8" t="s">
        <v>0</v>
      </c>
      <c r="BH20" s="33" t="b">
        <f t="shared" si="0"/>
        <v>0</v>
      </c>
      <c r="BI20" s="34" t="b">
        <f t="shared" si="1"/>
        <v>0</v>
      </c>
      <c r="BJ20" s="34" t="b">
        <f t="shared" si="2"/>
        <v>0</v>
      </c>
      <c r="BK20" s="34" t="b">
        <f t="shared" si="3"/>
        <v>0</v>
      </c>
      <c r="BL20" s="35" t="b">
        <f t="shared" si="4"/>
        <v>0</v>
      </c>
      <c r="BM20" s="34" t="b">
        <f t="shared" si="5"/>
        <v>0</v>
      </c>
      <c r="BN20" s="34" t="b">
        <f t="shared" si="6"/>
        <v>0</v>
      </c>
      <c r="BO20" s="34" t="b">
        <f t="shared" si="7"/>
        <v>0</v>
      </c>
      <c r="BP20" s="34" t="b">
        <f t="shared" si="8"/>
        <v>0</v>
      </c>
      <c r="BQ20" s="34" t="b">
        <f t="shared" si="9"/>
        <v>0</v>
      </c>
      <c r="BR20" s="149" t="b">
        <f t="shared" si="10"/>
        <v>0</v>
      </c>
      <c r="BS20" s="34" t="b">
        <f t="shared" si="11"/>
        <v>0</v>
      </c>
      <c r="BT20" s="34" t="b">
        <f t="shared" si="12"/>
        <v>0</v>
      </c>
      <c r="BU20" s="34" t="b">
        <f t="shared" si="13"/>
        <v>0</v>
      </c>
      <c r="BV20" s="36" t="b">
        <f t="shared" si="14"/>
        <v>0</v>
      </c>
    </row>
    <row r="21" spans="1:74" ht="30" customHeight="1" x14ac:dyDescent="0.2">
      <c r="A21" s="200"/>
      <c r="B21" s="200"/>
      <c r="C21" s="200"/>
      <c r="D21" s="200"/>
      <c r="E21" s="200"/>
      <c r="F21" s="200">
        <v>5</v>
      </c>
      <c r="G21" s="200">
        <v>1</v>
      </c>
      <c r="H21" s="200">
        <v>7</v>
      </c>
      <c r="I21" s="28"/>
      <c r="J21" s="29"/>
      <c r="K21" s="51"/>
      <c r="L21" s="29"/>
      <c r="M21" s="135"/>
      <c r="N21" s="52"/>
      <c r="O21" s="51"/>
      <c r="P21" s="51"/>
      <c r="Q21" s="51"/>
      <c r="R21" s="133"/>
      <c r="S21" s="176"/>
      <c r="T21" s="51"/>
      <c r="U21" s="51"/>
      <c r="V21" s="51"/>
      <c r="W21" s="32"/>
      <c r="AR21" s="5">
        <v>1</v>
      </c>
      <c r="AS21" s="6">
        <v>1</v>
      </c>
      <c r="AT21" s="9">
        <v>1</v>
      </c>
      <c r="AU21" s="6">
        <v>1</v>
      </c>
      <c r="AV21" s="143">
        <v>1</v>
      </c>
      <c r="AW21" s="9" t="s">
        <v>0</v>
      </c>
      <c r="AX21" s="9">
        <v>1</v>
      </c>
      <c r="AY21" s="9" t="s">
        <v>0</v>
      </c>
      <c r="AZ21" s="9">
        <v>1</v>
      </c>
      <c r="BA21" s="9">
        <v>1</v>
      </c>
      <c r="BB21" s="160">
        <v>1</v>
      </c>
      <c r="BC21" s="9">
        <v>1</v>
      </c>
      <c r="BD21" s="9">
        <v>1</v>
      </c>
      <c r="BE21" s="9">
        <v>1</v>
      </c>
      <c r="BF21" s="8">
        <v>1</v>
      </c>
      <c r="BH21" s="33" t="b">
        <f t="shared" si="0"/>
        <v>0</v>
      </c>
      <c r="BI21" s="34" t="b">
        <f t="shared" si="1"/>
        <v>0</v>
      </c>
      <c r="BJ21" s="34" t="b">
        <f t="shared" si="2"/>
        <v>0</v>
      </c>
      <c r="BK21" s="34" t="b">
        <f t="shared" si="3"/>
        <v>0</v>
      </c>
      <c r="BL21" s="35" t="b">
        <f t="shared" si="4"/>
        <v>0</v>
      </c>
      <c r="BM21" s="34" t="b">
        <f t="shared" si="5"/>
        <v>0</v>
      </c>
      <c r="BN21" s="34" t="b">
        <f t="shared" si="6"/>
        <v>0</v>
      </c>
      <c r="BO21" s="34" t="b">
        <f t="shared" si="7"/>
        <v>0</v>
      </c>
      <c r="BP21" s="34" t="b">
        <f t="shared" si="8"/>
        <v>0</v>
      </c>
      <c r="BQ21" s="34" t="b">
        <f t="shared" si="9"/>
        <v>0</v>
      </c>
      <c r="BR21" s="149" t="b">
        <f t="shared" si="10"/>
        <v>0</v>
      </c>
      <c r="BS21" s="34" t="b">
        <f t="shared" si="11"/>
        <v>0</v>
      </c>
      <c r="BT21" s="34" t="b">
        <f t="shared" si="12"/>
        <v>0</v>
      </c>
      <c r="BU21" s="34" t="b">
        <f t="shared" si="13"/>
        <v>0</v>
      </c>
      <c r="BV21" s="36" t="b">
        <f t="shared" si="14"/>
        <v>0</v>
      </c>
    </row>
    <row r="22" spans="1:74" ht="30" customHeight="1" x14ac:dyDescent="0.2">
      <c r="A22" s="200"/>
      <c r="B22" s="200"/>
      <c r="C22" s="200"/>
      <c r="D22" s="200"/>
      <c r="E22" s="200">
        <v>5</v>
      </c>
      <c r="F22" s="200">
        <v>1</v>
      </c>
      <c r="G22" s="200">
        <v>3</v>
      </c>
      <c r="H22" s="200">
        <v>3</v>
      </c>
      <c r="I22" s="28"/>
      <c r="J22" s="29"/>
      <c r="K22" s="51"/>
      <c r="L22" s="29"/>
      <c r="M22" s="135"/>
      <c r="N22" s="52"/>
      <c r="O22" s="51"/>
      <c r="P22" s="51"/>
      <c r="Q22" s="51"/>
      <c r="R22" s="133"/>
      <c r="S22" s="176"/>
      <c r="T22" s="51"/>
      <c r="U22" s="51"/>
      <c r="V22" s="51"/>
      <c r="W22" s="32"/>
      <c r="AR22" s="5">
        <v>1</v>
      </c>
      <c r="AS22" s="6">
        <v>1</v>
      </c>
      <c r="AT22" s="9">
        <v>1</v>
      </c>
      <c r="AU22" s="6">
        <v>1</v>
      </c>
      <c r="AV22" s="143">
        <v>1</v>
      </c>
      <c r="AW22" s="9" t="s">
        <v>0</v>
      </c>
      <c r="AX22" s="9">
        <v>1</v>
      </c>
      <c r="AY22" s="9" t="s">
        <v>0</v>
      </c>
      <c r="AZ22" s="9">
        <v>1</v>
      </c>
      <c r="BA22" s="9">
        <v>1</v>
      </c>
      <c r="BB22" s="160">
        <v>1</v>
      </c>
      <c r="BC22" s="9" t="s">
        <v>0</v>
      </c>
      <c r="BD22" s="9">
        <v>1</v>
      </c>
      <c r="BE22" s="9">
        <v>1</v>
      </c>
      <c r="BF22" s="8">
        <v>1</v>
      </c>
      <c r="BH22" s="33" t="b">
        <f t="shared" si="0"/>
        <v>0</v>
      </c>
      <c r="BI22" s="34" t="b">
        <f t="shared" si="1"/>
        <v>0</v>
      </c>
      <c r="BJ22" s="34" t="b">
        <f t="shared" si="2"/>
        <v>0</v>
      </c>
      <c r="BK22" s="34" t="b">
        <f t="shared" si="3"/>
        <v>0</v>
      </c>
      <c r="BL22" s="35" t="b">
        <f t="shared" si="4"/>
        <v>0</v>
      </c>
      <c r="BM22" s="34" t="b">
        <f t="shared" si="5"/>
        <v>0</v>
      </c>
      <c r="BN22" s="34" t="b">
        <f t="shared" si="6"/>
        <v>0</v>
      </c>
      <c r="BO22" s="34" t="b">
        <f t="shared" si="7"/>
        <v>0</v>
      </c>
      <c r="BP22" s="34" t="b">
        <f t="shared" si="8"/>
        <v>0</v>
      </c>
      <c r="BQ22" s="34" t="b">
        <f t="shared" si="9"/>
        <v>0</v>
      </c>
      <c r="BR22" s="149" t="b">
        <f t="shared" si="10"/>
        <v>0</v>
      </c>
      <c r="BS22" s="34" t="b">
        <f t="shared" si="11"/>
        <v>0</v>
      </c>
      <c r="BT22" s="34" t="b">
        <f t="shared" si="12"/>
        <v>0</v>
      </c>
      <c r="BU22" s="34" t="b">
        <f t="shared" si="13"/>
        <v>0</v>
      </c>
      <c r="BV22" s="36" t="b">
        <f t="shared" si="14"/>
        <v>0</v>
      </c>
    </row>
    <row r="23" spans="1:74" ht="30" customHeight="1" x14ac:dyDescent="0.2">
      <c r="A23" s="200"/>
      <c r="B23" s="200"/>
      <c r="C23" s="200"/>
      <c r="D23" s="200">
        <v>2</v>
      </c>
      <c r="E23" s="200">
        <v>1</v>
      </c>
      <c r="F23" s="200">
        <v>2</v>
      </c>
      <c r="G23" s="200">
        <v>1</v>
      </c>
      <c r="H23" s="200">
        <v>1</v>
      </c>
      <c r="I23" s="164"/>
      <c r="J23" s="165"/>
      <c r="K23" s="165"/>
      <c r="L23" s="165"/>
      <c r="M23" s="166"/>
      <c r="N23" s="167"/>
      <c r="O23" s="165"/>
      <c r="P23" s="165"/>
      <c r="Q23" s="165"/>
      <c r="R23" s="170"/>
      <c r="S23" s="175"/>
      <c r="T23" s="165"/>
      <c r="U23" s="165"/>
      <c r="V23" s="165"/>
      <c r="W23" s="168"/>
      <c r="AR23" s="153" t="s">
        <v>0</v>
      </c>
      <c r="AS23" s="154">
        <v>1</v>
      </c>
      <c r="AT23" s="154">
        <v>1</v>
      </c>
      <c r="AU23" s="154" t="s">
        <v>0</v>
      </c>
      <c r="AV23" s="155" t="s">
        <v>0</v>
      </c>
      <c r="AW23" s="154" t="s">
        <v>0</v>
      </c>
      <c r="AX23" s="154">
        <v>1</v>
      </c>
      <c r="AY23" s="154" t="s">
        <v>0</v>
      </c>
      <c r="AZ23" s="154">
        <v>1</v>
      </c>
      <c r="BA23" s="154">
        <v>1</v>
      </c>
      <c r="BB23" s="162" t="s">
        <v>0</v>
      </c>
      <c r="BC23" s="156">
        <v>1</v>
      </c>
      <c r="BD23" s="156" t="s">
        <v>0</v>
      </c>
      <c r="BE23" s="156">
        <v>1</v>
      </c>
      <c r="BF23" s="157" t="s">
        <v>0</v>
      </c>
      <c r="BH23" s="144" t="b">
        <f t="shared" si="0"/>
        <v>0</v>
      </c>
      <c r="BI23" s="145" t="b">
        <f t="shared" si="1"/>
        <v>0</v>
      </c>
      <c r="BJ23" s="145" t="b">
        <f t="shared" si="2"/>
        <v>0</v>
      </c>
      <c r="BK23" s="145" t="b">
        <f t="shared" si="3"/>
        <v>0</v>
      </c>
      <c r="BL23" s="146" t="b">
        <f t="shared" si="4"/>
        <v>0</v>
      </c>
      <c r="BM23" s="145" t="b">
        <f t="shared" si="5"/>
        <v>0</v>
      </c>
      <c r="BN23" s="145" t="b">
        <f t="shared" si="6"/>
        <v>0</v>
      </c>
      <c r="BO23" s="145" t="b">
        <f t="shared" si="7"/>
        <v>0</v>
      </c>
      <c r="BP23" s="145" t="b">
        <f t="shared" si="8"/>
        <v>0</v>
      </c>
      <c r="BQ23" s="145" t="b">
        <f t="shared" si="9"/>
        <v>0</v>
      </c>
      <c r="BR23" s="151" t="b">
        <f t="shared" si="10"/>
        <v>0</v>
      </c>
      <c r="BS23" s="145" t="b">
        <f t="shared" si="11"/>
        <v>0</v>
      </c>
      <c r="BT23" s="145" t="b">
        <f t="shared" si="12"/>
        <v>0</v>
      </c>
      <c r="BU23" s="145" t="b">
        <f t="shared" si="13"/>
        <v>0</v>
      </c>
      <c r="BV23" s="147" t="b">
        <f t="shared" si="14"/>
        <v>0</v>
      </c>
    </row>
    <row r="24" spans="1:74" ht="30" customHeight="1" x14ac:dyDescent="0.2">
      <c r="A24" s="200"/>
      <c r="B24" s="200"/>
      <c r="C24" s="200"/>
      <c r="D24" s="200"/>
      <c r="E24" s="200"/>
      <c r="F24" s="200"/>
      <c r="G24" s="200">
        <v>1</v>
      </c>
      <c r="H24" s="200">
        <v>12</v>
      </c>
      <c r="I24" s="28"/>
      <c r="J24" s="29"/>
      <c r="K24" s="51"/>
      <c r="L24" s="29"/>
      <c r="M24" s="135"/>
      <c r="N24" s="52"/>
      <c r="O24" s="51"/>
      <c r="P24" s="51"/>
      <c r="Q24" s="51"/>
      <c r="R24" s="133"/>
      <c r="S24" s="176"/>
      <c r="T24" s="51"/>
      <c r="U24" s="51"/>
      <c r="V24" s="51"/>
      <c r="W24" s="32"/>
      <c r="Z24"/>
      <c r="AA24"/>
      <c r="AB24"/>
      <c r="AC24"/>
      <c r="AD24"/>
      <c r="AE24"/>
      <c r="AF24"/>
      <c r="AG24"/>
      <c r="AH24"/>
      <c r="AI24"/>
      <c r="AJ24"/>
      <c r="AK24"/>
      <c r="AL24"/>
      <c r="AM24"/>
      <c r="AN24"/>
      <c r="AR24" s="5" t="s">
        <v>0</v>
      </c>
      <c r="AS24" s="9">
        <v>1</v>
      </c>
      <c r="AT24" s="9" t="s">
        <v>0</v>
      </c>
      <c r="AU24" s="6">
        <v>1</v>
      </c>
      <c r="AV24" s="7">
        <v>1</v>
      </c>
      <c r="AW24" s="6">
        <v>1</v>
      </c>
      <c r="AX24" s="6">
        <v>1</v>
      </c>
      <c r="AY24" s="6">
        <v>1</v>
      </c>
      <c r="AZ24" s="6">
        <v>1</v>
      </c>
      <c r="BA24" s="6">
        <v>1</v>
      </c>
      <c r="BB24" s="160">
        <v>1</v>
      </c>
      <c r="BC24" s="9">
        <v>1</v>
      </c>
      <c r="BD24" s="9">
        <v>1</v>
      </c>
      <c r="BE24" s="9">
        <v>1</v>
      </c>
      <c r="BF24" s="8">
        <v>1</v>
      </c>
      <c r="BH24" s="33" t="b">
        <f t="shared" si="0"/>
        <v>0</v>
      </c>
      <c r="BI24" s="34" t="b">
        <f t="shared" si="1"/>
        <v>0</v>
      </c>
      <c r="BJ24" s="34" t="b">
        <f t="shared" si="2"/>
        <v>0</v>
      </c>
      <c r="BK24" s="34" t="b">
        <f t="shared" si="3"/>
        <v>0</v>
      </c>
      <c r="BL24" s="35" t="b">
        <f t="shared" si="4"/>
        <v>0</v>
      </c>
      <c r="BM24" s="34" t="b">
        <f t="shared" si="5"/>
        <v>0</v>
      </c>
      <c r="BN24" s="34" t="b">
        <f t="shared" si="6"/>
        <v>0</v>
      </c>
      <c r="BO24" s="34" t="b">
        <f t="shared" si="7"/>
        <v>0</v>
      </c>
      <c r="BP24" s="34" t="b">
        <f t="shared" si="8"/>
        <v>0</v>
      </c>
      <c r="BQ24" s="34" t="b">
        <f t="shared" si="9"/>
        <v>0</v>
      </c>
      <c r="BR24" s="149" t="b">
        <f t="shared" si="10"/>
        <v>0</v>
      </c>
      <c r="BS24" s="34" t="b">
        <f t="shared" si="11"/>
        <v>0</v>
      </c>
      <c r="BT24" s="34" t="b">
        <f t="shared" si="12"/>
        <v>0</v>
      </c>
      <c r="BU24" s="34" t="b">
        <f t="shared" si="13"/>
        <v>0</v>
      </c>
      <c r="BV24" s="36" t="b">
        <f t="shared" si="14"/>
        <v>0</v>
      </c>
    </row>
    <row r="25" spans="1:74" ht="30" customHeight="1" x14ac:dyDescent="0.2">
      <c r="A25" s="200"/>
      <c r="B25" s="200"/>
      <c r="C25" s="200"/>
      <c r="D25" s="200"/>
      <c r="E25" s="200"/>
      <c r="F25" s="200">
        <v>4</v>
      </c>
      <c r="G25" s="200">
        <v>3</v>
      </c>
      <c r="H25" s="200">
        <v>5</v>
      </c>
      <c r="I25" s="28"/>
      <c r="J25" s="29"/>
      <c r="K25" s="51"/>
      <c r="L25" s="29"/>
      <c r="M25" s="135"/>
      <c r="N25" s="52"/>
      <c r="O25" s="51"/>
      <c r="P25" s="51"/>
      <c r="Q25" s="51"/>
      <c r="R25" s="133"/>
      <c r="S25" s="176"/>
      <c r="T25" s="51"/>
      <c r="U25" s="51"/>
      <c r="V25" s="51"/>
      <c r="W25" s="32"/>
      <c r="Y25"/>
      <c r="Z25"/>
      <c r="AA25"/>
      <c r="AB25"/>
      <c r="AC25"/>
      <c r="AD25"/>
      <c r="AE25"/>
      <c r="AF25"/>
      <c r="AG25"/>
      <c r="AH25"/>
      <c r="AI25"/>
      <c r="AJ25"/>
      <c r="AK25"/>
      <c r="AL25"/>
      <c r="AM25"/>
      <c r="AN25"/>
      <c r="AR25" s="5">
        <v>1</v>
      </c>
      <c r="AS25" s="9">
        <v>1</v>
      </c>
      <c r="AT25" s="9">
        <v>1</v>
      </c>
      <c r="AU25" s="6">
        <v>1</v>
      </c>
      <c r="AV25" s="7" t="s">
        <v>0</v>
      </c>
      <c r="AW25" s="6">
        <v>1</v>
      </c>
      <c r="AX25" s="6">
        <v>1</v>
      </c>
      <c r="AY25" s="6">
        <v>1</v>
      </c>
      <c r="AZ25" s="6" t="s">
        <v>0</v>
      </c>
      <c r="BA25" s="6">
        <v>1</v>
      </c>
      <c r="BB25" s="160">
        <v>1</v>
      </c>
      <c r="BC25" s="9">
        <v>1</v>
      </c>
      <c r="BD25" s="9">
        <v>1</v>
      </c>
      <c r="BE25" s="9">
        <v>1</v>
      </c>
      <c r="BF25" s="8" t="s">
        <v>0</v>
      </c>
      <c r="BH25" s="33" t="b">
        <f t="shared" si="0"/>
        <v>0</v>
      </c>
      <c r="BI25" s="34" t="b">
        <f t="shared" si="1"/>
        <v>0</v>
      </c>
      <c r="BJ25" s="34" t="b">
        <f t="shared" si="2"/>
        <v>0</v>
      </c>
      <c r="BK25" s="34" t="b">
        <f t="shared" si="3"/>
        <v>0</v>
      </c>
      <c r="BL25" s="35" t="b">
        <f t="shared" si="4"/>
        <v>0</v>
      </c>
      <c r="BM25" s="34" t="b">
        <f t="shared" si="5"/>
        <v>0</v>
      </c>
      <c r="BN25" s="34" t="b">
        <f t="shared" si="6"/>
        <v>0</v>
      </c>
      <c r="BO25" s="34" t="b">
        <f t="shared" si="7"/>
        <v>0</v>
      </c>
      <c r="BP25" s="34" t="b">
        <f t="shared" si="8"/>
        <v>0</v>
      </c>
      <c r="BQ25" s="34" t="b">
        <f t="shared" si="9"/>
        <v>0</v>
      </c>
      <c r="BR25" s="149" t="b">
        <f t="shared" si="10"/>
        <v>0</v>
      </c>
      <c r="BS25" s="34" t="b">
        <f t="shared" si="11"/>
        <v>0</v>
      </c>
      <c r="BT25" s="34" t="b">
        <f t="shared" si="12"/>
        <v>0</v>
      </c>
      <c r="BU25" s="34" t="b">
        <f t="shared" si="13"/>
        <v>0</v>
      </c>
      <c r="BV25" s="36" t="b">
        <f t="shared" si="14"/>
        <v>0</v>
      </c>
    </row>
    <row r="26" spans="1:74" ht="30" customHeight="1" x14ac:dyDescent="0.2">
      <c r="A26" s="200"/>
      <c r="B26" s="200"/>
      <c r="C26" s="200"/>
      <c r="D26" s="200"/>
      <c r="E26" s="200"/>
      <c r="F26" s="200">
        <v>6</v>
      </c>
      <c r="G26" s="200">
        <v>1</v>
      </c>
      <c r="H26" s="200">
        <v>5</v>
      </c>
      <c r="I26" s="28"/>
      <c r="J26" s="29"/>
      <c r="K26" s="51"/>
      <c r="L26" s="29"/>
      <c r="M26" s="135"/>
      <c r="N26" s="52"/>
      <c r="O26" s="51"/>
      <c r="P26" s="51"/>
      <c r="Q26" s="51"/>
      <c r="R26" s="133"/>
      <c r="S26" s="176"/>
      <c r="T26" s="51"/>
      <c r="U26" s="51"/>
      <c r="V26" s="51"/>
      <c r="W26" s="32"/>
      <c r="Y26"/>
      <c r="Z26"/>
      <c r="AA26"/>
      <c r="AB26"/>
      <c r="AC26"/>
      <c r="AD26"/>
      <c r="AE26"/>
      <c r="AF26"/>
      <c r="AG26"/>
      <c r="AH26"/>
      <c r="AI26"/>
      <c r="AJ26"/>
      <c r="AK26"/>
      <c r="AL26"/>
      <c r="AM26"/>
      <c r="AN26"/>
      <c r="AR26" s="5">
        <v>1</v>
      </c>
      <c r="AS26" s="9">
        <v>1</v>
      </c>
      <c r="AT26" s="9">
        <v>1</v>
      </c>
      <c r="AU26" s="6">
        <v>1</v>
      </c>
      <c r="AV26" s="7">
        <v>1</v>
      </c>
      <c r="AW26" s="6">
        <v>1</v>
      </c>
      <c r="AX26" s="6" t="s">
        <v>0</v>
      </c>
      <c r="AY26" s="6">
        <v>1</v>
      </c>
      <c r="AZ26" s="6" t="s">
        <v>0</v>
      </c>
      <c r="BA26" s="6" t="s">
        <v>0</v>
      </c>
      <c r="BB26" s="160">
        <v>1</v>
      </c>
      <c r="BC26" s="9">
        <v>1</v>
      </c>
      <c r="BD26" s="9">
        <v>1</v>
      </c>
      <c r="BE26" s="9">
        <v>1</v>
      </c>
      <c r="BF26" s="8">
        <v>1</v>
      </c>
      <c r="BH26" s="33" t="b">
        <f t="shared" si="0"/>
        <v>0</v>
      </c>
      <c r="BI26" s="34" t="b">
        <f t="shared" si="1"/>
        <v>0</v>
      </c>
      <c r="BJ26" s="34" t="b">
        <f t="shared" si="2"/>
        <v>0</v>
      </c>
      <c r="BK26" s="34" t="b">
        <f t="shared" si="3"/>
        <v>0</v>
      </c>
      <c r="BL26" s="35" t="b">
        <f t="shared" si="4"/>
        <v>0</v>
      </c>
      <c r="BM26" s="34" t="b">
        <f t="shared" si="5"/>
        <v>0</v>
      </c>
      <c r="BN26" s="34" t="b">
        <f t="shared" si="6"/>
        <v>0</v>
      </c>
      <c r="BO26" s="34" t="b">
        <f t="shared" si="7"/>
        <v>0</v>
      </c>
      <c r="BP26" s="34" t="b">
        <f t="shared" si="8"/>
        <v>0</v>
      </c>
      <c r="BQ26" s="34" t="b">
        <f t="shared" si="9"/>
        <v>0</v>
      </c>
      <c r="BR26" s="149" t="b">
        <f t="shared" si="10"/>
        <v>0</v>
      </c>
      <c r="BS26" s="34" t="b">
        <f t="shared" si="11"/>
        <v>0</v>
      </c>
      <c r="BT26" s="34" t="b">
        <f t="shared" si="12"/>
        <v>0</v>
      </c>
      <c r="BU26" s="34" t="b">
        <f t="shared" si="13"/>
        <v>0</v>
      </c>
      <c r="BV26" s="36" t="b">
        <f t="shared" si="14"/>
        <v>0</v>
      </c>
    </row>
    <row r="27" spans="1:74" ht="30" customHeight="1" thickBot="1" x14ac:dyDescent="0.25">
      <c r="A27" s="200"/>
      <c r="B27" s="200"/>
      <c r="C27" s="200"/>
      <c r="D27" s="200"/>
      <c r="E27" s="200"/>
      <c r="F27" s="200">
        <v>3</v>
      </c>
      <c r="G27" s="200">
        <v>1</v>
      </c>
      <c r="H27" s="200">
        <v>7</v>
      </c>
      <c r="I27" s="53"/>
      <c r="J27" s="54"/>
      <c r="K27" s="54"/>
      <c r="L27" s="54"/>
      <c r="M27" s="55"/>
      <c r="N27" s="56"/>
      <c r="O27" s="54"/>
      <c r="P27" s="54"/>
      <c r="Q27" s="54"/>
      <c r="R27" s="134"/>
      <c r="S27" s="177"/>
      <c r="T27" s="54"/>
      <c r="U27" s="54"/>
      <c r="V27" s="54"/>
      <c r="W27" s="57"/>
      <c r="Y27"/>
      <c r="Z27"/>
      <c r="AA27"/>
      <c r="AB27"/>
      <c r="AC27"/>
      <c r="AD27"/>
      <c r="AE27"/>
      <c r="AF27"/>
      <c r="AG27"/>
      <c r="AH27"/>
      <c r="AI27"/>
      <c r="AJ27"/>
      <c r="AK27"/>
      <c r="AL27"/>
      <c r="AM27"/>
      <c r="AN27"/>
      <c r="AR27" s="14">
        <v>1</v>
      </c>
      <c r="AS27" s="15">
        <v>1</v>
      </c>
      <c r="AT27" s="15">
        <v>1</v>
      </c>
      <c r="AU27" s="15" t="s">
        <v>0</v>
      </c>
      <c r="AV27" s="16">
        <v>1</v>
      </c>
      <c r="AW27" s="15" t="s">
        <v>0</v>
      </c>
      <c r="AX27" s="15">
        <v>1</v>
      </c>
      <c r="AY27" s="15">
        <v>1</v>
      </c>
      <c r="AZ27" s="15">
        <v>1</v>
      </c>
      <c r="BA27" s="15">
        <v>1</v>
      </c>
      <c r="BB27" s="163">
        <v>1</v>
      </c>
      <c r="BC27" s="15">
        <v>1</v>
      </c>
      <c r="BD27" s="15">
        <v>1</v>
      </c>
      <c r="BE27" s="15" t="s">
        <v>0</v>
      </c>
      <c r="BF27" s="17" t="s">
        <v>0</v>
      </c>
      <c r="BH27" s="58" t="b">
        <f t="shared" si="0"/>
        <v>0</v>
      </c>
      <c r="BI27" s="59" t="b">
        <f t="shared" si="1"/>
        <v>0</v>
      </c>
      <c r="BJ27" s="59" t="b">
        <f t="shared" si="2"/>
        <v>0</v>
      </c>
      <c r="BK27" s="59" t="b">
        <f t="shared" si="3"/>
        <v>0</v>
      </c>
      <c r="BL27" s="60" t="b">
        <f t="shared" si="4"/>
        <v>0</v>
      </c>
      <c r="BM27" s="59" t="b">
        <f t="shared" si="5"/>
        <v>0</v>
      </c>
      <c r="BN27" s="59" t="b">
        <f t="shared" si="6"/>
        <v>0</v>
      </c>
      <c r="BO27" s="59" t="b">
        <f t="shared" si="7"/>
        <v>0</v>
      </c>
      <c r="BP27" s="59" t="b">
        <f t="shared" si="8"/>
        <v>0</v>
      </c>
      <c r="BQ27" s="59" t="b">
        <f t="shared" si="9"/>
        <v>0</v>
      </c>
      <c r="BR27" s="152" t="b">
        <f t="shared" si="10"/>
        <v>0</v>
      </c>
      <c r="BS27" s="59" t="b">
        <f t="shared" si="11"/>
        <v>0</v>
      </c>
      <c r="BT27" s="59" t="b">
        <f t="shared" si="12"/>
        <v>0</v>
      </c>
      <c r="BU27" s="59" t="b">
        <f t="shared" si="13"/>
        <v>0</v>
      </c>
      <c r="BV27" s="61" t="b">
        <f t="shared" si="14"/>
        <v>0</v>
      </c>
    </row>
    <row r="28" spans="1:74" x14ac:dyDescent="0.2">
      <c r="Y28"/>
      <c r="Z28"/>
      <c r="AA28"/>
      <c r="AB28"/>
      <c r="AC28"/>
      <c r="AD28"/>
      <c r="AE28"/>
      <c r="AF28"/>
      <c r="AG28"/>
      <c r="AH28"/>
      <c r="AI28"/>
      <c r="AJ28"/>
      <c r="AK28"/>
      <c r="AL28"/>
      <c r="AM28"/>
      <c r="AN28"/>
    </row>
    <row r="29" spans="1:74" x14ac:dyDescent="0.2">
      <c r="Y29" s="195"/>
      <c r="Z29" s="212"/>
      <c r="AA29" s="212"/>
      <c r="AB29" s="212"/>
      <c r="AC29" s="212"/>
      <c r="AD29" s="212"/>
      <c r="AE29" s="212"/>
      <c r="AF29" s="212"/>
      <c r="AG29" s="212"/>
      <c r="AH29" s="212"/>
      <c r="AI29" s="212"/>
      <c r="AJ29" s="212"/>
      <c r="AK29" s="212"/>
      <c r="AL29" s="212"/>
      <c r="AM29" s="212"/>
      <c r="AN29" s="212"/>
    </row>
    <row r="30" spans="1:74" ht="7.5" customHeight="1" x14ac:dyDescent="0.2">
      <c r="I30" s="211" t="str">
        <f>IF(COUNTIF(BH13:BV27, TRUE)=15*15,"PASS", "")</f>
        <v/>
      </c>
      <c r="J30" s="211"/>
      <c r="K30" s="211"/>
      <c r="L30" s="211"/>
      <c r="M30" s="211"/>
      <c r="N30" s="211"/>
      <c r="O30" s="211"/>
      <c r="P30" s="211"/>
      <c r="Q30" s="211"/>
      <c r="R30" s="211"/>
      <c r="S30" s="211"/>
      <c r="T30" s="211"/>
      <c r="U30" s="211"/>
      <c r="V30" s="211"/>
      <c r="W30" s="211"/>
      <c r="Y30" s="209"/>
      <c r="Z30" s="179"/>
      <c r="AA30" s="180"/>
      <c r="AB30" s="180"/>
      <c r="AC30" s="180"/>
      <c r="AD30" s="180"/>
      <c r="AE30" s="180"/>
      <c r="AF30" s="180"/>
      <c r="AG30" s="180"/>
      <c r="AH30" s="180"/>
      <c r="AI30" s="180"/>
      <c r="AJ30" s="180"/>
      <c r="AK30" s="180"/>
      <c r="AL30" s="180"/>
      <c r="AM30" s="180"/>
      <c r="AN30" s="181"/>
    </row>
    <row r="31" spans="1:74" ht="7.5" customHeight="1" x14ac:dyDescent="0.2">
      <c r="I31" s="211"/>
      <c r="J31" s="211"/>
      <c r="K31" s="211"/>
      <c r="L31" s="211"/>
      <c r="M31" s="211"/>
      <c r="N31" s="211"/>
      <c r="O31" s="211"/>
      <c r="P31" s="211"/>
      <c r="Q31" s="211"/>
      <c r="R31" s="211"/>
      <c r="S31" s="211"/>
      <c r="T31" s="211"/>
      <c r="U31" s="211"/>
      <c r="V31" s="211"/>
      <c r="W31" s="211"/>
      <c r="Y31" s="209"/>
      <c r="Z31" s="182"/>
      <c r="AA31" s="183"/>
      <c r="AB31" s="183"/>
      <c r="AC31" s="183"/>
      <c r="AD31" s="183"/>
      <c r="AE31" s="183"/>
      <c r="AF31" s="183"/>
      <c r="AG31" s="183"/>
      <c r="AH31" s="183"/>
      <c r="AI31" s="183"/>
      <c r="AJ31" s="183"/>
      <c r="AK31" s="183"/>
      <c r="AL31" s="183"/>
      <c r="AM31" s="183"/>
      <c r="AN31" s="184"/>
    </row>
    <row r="32" spans="1:74" ht="7.5" customHeight="1" x14ac:dyDescent="0.2">
      <c r="I32" s="211"/>
      <c r="J32" s="211"/>
      <c r="K32" s="211"/>
      <c r="L32" s="211"/>
      <c r="M32" s="211"/>
      <c r="N32" s="211"/>
      <c r="O32" s="211"/>
      <c r="P32" s="211"/>
      <c r="Q32" s="211"/>
      <c r="R32" s="211"/>
      <c r="S32" s="211"/>
      <c r="T32" s="211"/>
      <c r="U32" s="211"/>
      <c r="V32" s="211"/>
      <c r="W32" s="211"/>
      <c r="Y32" s="209"/>
      <c r="Z32" s="182"/>
      <c r="AA32" s="183"/>
      <c r="AB32" s="183"/>
      <c r="AC32" s="183"/>
      <c r="AD32" s="183"/>
      <c r="AE32" s="183"/>
      <c r="AF32" s="183"/>
      <c r="AG32" s="183"/>
      <c r="AH32" s="183"/>
      <c r="AI32" s="183"/>
      <c r="AJ32" s="183"/>
      <c r="AK32" s="183"/>
      <c r="AL32" s="183"/>
      <c r="AM32" s="183"/>
      <c r="AN32" s="184"/>
    </row>
    <row r="33" spans="9:40" ht="7.5" customHeight="1" x14ac:dyDescent="0.2">
      <c r="I33" s="211"/>
      <c r="J33" s="211"/>
      <c r="K33" s="211"/>
      <c r="L33" s="211"/>
      <c r="M33" s="211"/>
      <c r="N33" s="211"/>
      <c r="O33" s="211"/>
      <c r="P33" s="211"/>
      <c r="Q33" s="211"/>
      <c r="R33" s="211"/>
      <c r="S33" s="211"/>
      <c r="T33" s="211"/>
      <c r="U33" s="211"/>
      <c r="V33" s="211"/>
      <c r="W33" s="211"/>
      <c r="Y33" s="209"/>
      <c r="Z33" s="182"/>
      <c r="AA33" s="183"/>
      <c r="AB33" s="183"/>
      <c r="AC33" s="183"/>
      <c r="AD33" s="183"/>
      <c r="AE33" s="183"/>
      <c r="AF33" s="183"/>
      <c r="AG33" s="183"/>
      <c r="AH33" s="183"/>
      <c r="AI33" s="183"/>
      <c r="AJ33" s="183"/>
      <c r="AK33" s="183"/>
      <c r="AL33" s="183"/>
      <c r="AM33" s="183"/>
      <c r="AN33" s="184"/>
    </row>
    <row r="34" spans="9:40" ht="7.5" customHeight="1" x14ac:dyDescent="0.2">
      <c r="Y34" s="209"/>
      <c r="Z34" s="182"/>
      <c r="AA34" s="183"/>
      <c r="AB34" s="183"/>
      <c r="AC34" s="183"/>
      <c r="AD34" s="183"/>
      <c r="AE34" s="183"/>
      <c r="AF34" s="183"/>
      <c r="AG34" s="183"/>
      <c r="AH34" s="183"/>
      <c r="AI34" s="183"/>
      <c r="AJ34" s="183"/>
      <c r="AK34" s="183"/>
      <c r="AL34" s="183"/>
      <c r="AM34" s="183"/>
      <c r="AN34" s="184"/>
    </row>
    <row r="35" spans="9:40" ht="7.5" customHeight="1" x14ac:dyDescent="0.2">
      <c r="Y35" s="209"/>
      <c r="Z35" s="182"/>
      <c r="AA35" s="183"/>
      <c r="AB35" s="183"/>
      <c r="AC35" s="183"/>
      <c r="AD35" s="183"/>
      <c r="AE35" s="183"/>
      <c r="AF35" s="183"/>
      <c r="AG35" s="183"/>
      <c r="AH35" s="183"/>
      <c r="AI35" s="183"/>
      <c r="AJ35" s="183"/>
      <c r="AK35" s="183"/>
      <c r="AL35" s="183"/>
      <c r="AM35" s="183"/>
      <c r="AN35" s="184"/>
    </row>
    <row r="36" spans="9:40" ht="7.5" customHeight="1" x14ac:dyDescent="0.2">
      <c r="Y36" s="209"/>
      <c r="Z36" s="182"/>
      <c r="AA36" s="183"/>
      <c r="AB36" s="183"/>
      <c r="AC36" s="183"/>
      <c r="AD36" s="183"/>
      <c r="AE36" s="183"/>
      <c r="AF36" s="183"/>
      <c r="AG36" s="183"/>
      <c r="AH36" s="183"/>
      <c r="AI36" s="183"/>
      <c r="AJ36" s="183"/>
      <c r="AK36" s="183"/>
      <c r="AL36" s="183"/>
      <c r="AM36" s="183"/>
      <c r="AN36" s="184"/>
    </row>
    <row r="37" spans="9:40" ht="7.5" customHeight="1" x14ac:dyDescent="0.2">
      <c r="Y37" s="209"/>
      <c r="Z37" s="182"/>
      <c r="AA37" s="183"/>
      <c r="AB37" s="183"/>
      <c r="AC37" s="183"/>
      <c r="AD37" s="183"/>
      <c r="AE37" s="183"/>
      <c r="AF37" s="183"/>
      <c r="AG37" s="183"/>
      <c r="AH37" s="183"/>
      <c r="AI37" s="183"/>
      <c r="AJ37" s="183"/>
      <c r="AK37" s="183"/>
      <c r="AL37" s="183"/>
      <c r="AM37" s="183"/>
      <c r="AN37" s="184"/>
    </row>
    <row r="38" spans="9:40" ht="7.5" customHeight="1" x14ac:dyDescent="0.2">
      <c r="Y38" s="209"/>
      <c r="Z38" s="182"/>
      <c r="AA38" s="183"/>
      <c r="AB38" s="183"/>
      <c r="AC38" s="183"/>
      <c r="AD38" s="183"/>
      <c r="AE38" s="183"/>
      <c r="AF38" s="183"/>
      <c r="AG38" s="183"/>
      <c r="AH38" s="183"/>
      <c r="AI38" s="183"/>
      <c r="AJ38" s="183"/>
      <c r="AK38" s="183"/>
      <c r="AL38" s="183"/>
      <c r="AM38" s="183"/>
      <c r="AN38" s="184"/>
    </row>
    <row r="39" spans="9:40" ht="7.5" customHeight="1" x14ac:dyDescent="0.2">
      <c r="Y39" s="209"/>
      <c r="Z39" s="182"/>
      <c r="AA39" s="183"/>
      <c r="AB39" s="183"/>
      <c r="AC39" s="183"/>
      <c r="AD39" s="183"/>
      <c r="AE39" s="183"/>
      <c r="AF39" s="183"/>
      <c r="AG39" s="183"/>
      <c r="AH39" s="183"/>
      <c r="AI39" s="183"/>
      <c r="AJ39" s="183"/>
      <c r="AK39" s="183"/>
      <c r="AL39" s="183"/>
      <c r="AM39" s="183"/>
      <c r="AN39" s="184"/>
    </row>
    <row r="40" spans="9:40" ht="7.5" customHeight="1" x14ac:dyDescent="0.2">
      <c r="Y40" s="209"/>
      <c r="Z40" s="182"/>
      <c r="AA40" s="183"/>
      <c r="AB40" s="183"/>
      <c r="AC40" s="183"/>
      <c r="AD40" s="183"/>
      <c r="AE40" s="183"/>
      <c r="AF40" s="183"/>
      <c r="AG40" s="183"/>
      <c r="AH40" s="183"/>
      <c r="AI40" s="183"/>
      <c r="AJ40" s="183"/>
      <c r="AK40" s="183"/>
      <c r="AL40" s="183"/>
      <c r="AM40" s="183"/>
      <c r="AN40" s="184"/>
    </row>
    <row r="41" spans="9:40" ht="7.5" customHeight="1" x14ac:dyDescent="0.2">
      <c r="Y41" s="209"/>
      <c r="Z41" s="182"/>
      <c r="AA41" s="183"/>
      <c r="AB41" s="183"/>
      <c r="AC41" s="183"/>
      <c r="AD41" s="183"/>
      <c r="AE41" s="183"/>
      <c r="AF41" s="183"/>
      <c r="AG41" s="183"/>
      <c r="AH41" s="183"/>
      <c r="AI41" s="183"/>
      <c r="AJ41" s="183"/>
      <c r="AK41" s="183"/>
      <c r="AL41" s="183"/>
      <c r="AM41" s="183"/>
      <c r="AN41" s="184"/>
    </row>
    <row r="42" spans="9:40" ht="7.5" customHeight="1" x14ac:dyDescent="0.2">
      <c r="Y42" s="209"/>
      <c r="Z42" s="182"/>
      <c r="AA42" s="183"/>
      <c r="AB42" s="183"/>
      <c r="AC42" s="183"/>
      <c r="AD42" s="183"/>
      <c r="AE42" s="183"/>
      <c r="AF42" s="183"/>
      <c r="AG42" s="183"/>
      <c r="AH42" s="183"/>
      <c r="AI42" s="183"/>
      <c r="AJ42" s="183"/>
      <c r="AK42" s="183"/>
      <c r="AL42" s="183"/>
      <c r="AM42" s="183"/>
      <c r="AN42" s="184"/>
    </row>
    <row r="43" spans="9:40" ht="7.5" customHeight="1" x14ac:dyDescent="0.2">
      <c r="Y43" s="209"/>
      <c r="Z43" s="182"/>
      <c r="AA43" s="183"/>
      <c r="AB43" s="183"/>
      <c r="AC43" s="183"/>
      <c r="AD43" s="183"/>
      <c r="AE43" s="183"/>
      <c r="AF43" s="183"/>
      <c r="AG43" s="183"/>
      <c r="AH43" s="183"/>
      <c r="AI43" s="183"/>
      <c r="AJ43" s="183"/>
      <c r="AK43" s="183"/>
      <c r="AL43" s="183"/>
      <c r="AM43" s="183"/>
      <c r="AN43" s="184"/>
    </row>
    <row r="44" spans="9:40" ht="7.5" customHeight="1" x14ac:dyDescent="0.2">
      <c r="Y44" s="209"/>
      <c r="Z44" s="188"/>
      <c r="AA44" s="189"/>
      <c r="AB44" s="189"/>
      <c r="AC44" s="189"/>
      <c r="AD44" s="189"/>
      <c r="AE44" s="189"/>
      <c r="AF44" s="189"/>
      <c r="AG44" s="189"/>
      <c r="AH44" s="189"/>
      <c r="AI44" s="189"/>
      <c r="AJ44" s="189"/>
      <c r="AK44" s="189"/>
      <c r="AL44" s="189"/>
      <c r="AM44" s="189"/>
      <c r="AN44" s="190"/>
    </row>
    <row r="45" spans="9:40" x14ac:dyDescent="0.2">
      <c r="I45" s="18" t="s">
        <v>1</v>
      </c>
    </row>
    <row r="46" spans="9:40" x14ac:dyDescent="0.2">
      <c r="I46" s="18" t="s">
        <v>2</v>
      </c>
    </row>
    <row r="47" spans="9:40" x14ac:dyDescent="0.2">
      <c r="I47" s="18" t="s">
        <v>3</v>
      </c>
    </row>
    <row r="49" spans="9:40" x14ac:dyDescent="0.2">
      <c r="I49" s="205" t="s">
        <v>4</v>
      </c>
      <c r="J49" s="205"/>
      <c r="K49" s="205"/>
      <c r="L49" s="205"/>
      <c r="M49" s="205"/>
      <c r="N49" s="205"/>
      <c r="O49" s="205"/>
      <c r="P49" s="205"/>
      <c r="Q49" s="205"/>
      <c r="R49" s="205"/>
      <c r="S49" s="205"/>
      <c r="T49" s="205"/>
      <c r="U49" s="205"/>
      <c r="V49" s="205"/>
      <c r="W49" s="205"/>
    </row>
    <row r="50" spans="9:40" x14ac:dyDescent="0.2">
      <c r="I50" s="191" t="str">
        <f>version</f>
        <v>v1.1.1</v>
      </c>
    </row>
    <row r="60" spans="9:40" x14ac:dyDescent="0.2">
      <c r="Z60"/>
      <c r="AA60"/>
      <c r="AB60"/>
      <c r="AC60"/>
      <c r="AD60"/>
      <c r="AE60"/>
      <c r="AF60"/>
      <c r="AG60"/>
      <c r="AH60"/>
      <c r="AI60"/>
      <c r="AJ60"/>
      <c r="AK60"/>
      <c r="AL60"/>
      <c r="AM60"/>
      <c r="AN60"/>
    </row>
    <row r="61" spans="9:40" x14ac:dyDescent="0.2">
      <c r="Z61"/>
      <c r="AA61"/>
      <c r="AB61"/>
      <c r="AC61"/>
      <c r="AD61"/>
      <c r="AE61"/>
      <c r="AF61"/>
      <c r="AG61"/>
      <c r="AH61"/>
      <c r="AI61"/>
      <c r="AJ61"/>
      <c r="AK61"/>
      <c r="AL61"/>
      <c r="AM61"/>
      <c r="AN61"/>
    </row>
    <row r="62" spans="9:40" x14ac:dyDescent="0.2">
      <c r="Z62"/>
      <c r="AA62"/>
      <c r="AB62"/>
      <c r="AC62"/>
      <c r="AD62"/>
      <c r="AE62"/>
      <c r="AF62"/>
      <c r="AG62"/>
      <c r="AH62"/>
      <c r="AI62"/>
      <c r="AJ62"/>
      <c r="AK62"/>
      <c r="AL62"/>
      <c r="AM62"/>
      <c r="AN62"/>
    </row>
    <row r="68" spans="24:42" x14ac:dyDescent="0.2">
      <c r="X68" s="62"/>
      <c r="AO68" s="62"/>
      <c r="AP68" s="62"/>
    </row>
  </sheetData>
  <protectedRanges>
    <protectedRange algorithmName="SHA-512" hashValue="XHcNPv0VSwoYaJCeQtj2WDRv6t/4vn8mp7CeCxABhfSdrkP3pgF4oalhajN1y61O+rP5eN4hX4XqXpaQ1cd8kQ==" saltValue="PoK8t2FxuVIrzwMr5EtXiQ==" spinCount="100000" sqref="I13:W27" name="区域1"/>
  </protectedRanges>
  <mergeCells count="5">
    <mergeCell ref="Y30:Y44"/>
    <mergeCell ref="Z29:AN29"/>
    <mergeCell ref="I30:W33"/>
    <mergeCell ref="I49:W49"/>
    <mergeCell ref="A1:P3"/>
  </mergeCells>
  <phoneticPr fontId="1" type="noConversion"/>
  <conditionalFormatting sqref="I13:W27">
    <cfRule type="cellIs" dxfId="4" priority="3" operator="equal">
      <formula>"x"</formula>
    </cfRule>
    <cfRule type="cellIs" dxfId="3" priority="4" operator="equal">
      <formula>1</formula>
    </cfRule>
  </conditionalFormatting>
  <conditionalFormatting sqref="AR13:BF27">
    <cfRule type="expression" dxfId="2" priority="11">
      <formula>I13=AR13</formula>
    </cfRule>
  </conditionalFormatting>
  <conditionalFormatting sqref="Z30:AN44">
    <cfRule type="cellIs" dxfId="1" priority="2" operator="equal">
      <formula>1</formula>
    </cfRule>
  </conditionalFormatting>
  <conditionalFormatting sqref="I5:W12 A13:H27">
    <cfRule type="expression" dxfId="0" priority="1">
      <formula>AND((CELL("row")&gt;=13)*(CELL("row")&lt;13+15)*(CELL("col")&gt;=9)*(CELL("col")&lt;9+15), (CELL("row")=ROW())+(CELL("col")=COLUMN()))</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F9328-8138-4A3C-98BA-56219D6D2501}">
  <sheetPr codeName="Sheet4"/>
  <dimension ref="A1:U16"/>
  <sheetViews>
    <sheetView workbookViewId="0">
      <selection activeCell="U1" sqref="U1"/>
    </sheetView>
  </sheetViews>
  <sheetFormatPr defaultRowHeight="14.25" x14ac:dyDescent="0.2"/>
  <cols>
    <col min="1" max="16" width="5" customWidth="1"/>
  </cols>
  <sheetData>
    <row r="1" spans="1:21" ht="30" customHeight="1" x14ac:dyDescent="0.2">
      <c r="A1" s="1">
        <f ca="1">IF(RAND()&lt;$U$1,1,"x")</f>
        <v>1</v>
      </c>
      <c r="B1" s="2" t="str">
        <f t="shared" ref="B1:P16" ca="1" si="0">IF(RAND()&lt;$U$1,1,"x")</f>
        <v>x</v>
      </c>
      <c r="C1" s="2">
        <f t="shared" ca="1" si="0"/>
        <v>1</v>
      </c>
      <c r="D1" s="3" t="str">
        <f t="shared" ca="1" si="0"/>
        <v>x</v>
      </c>
      <c r="E1" s="2">
        <f t="shared" ca="1" si="0"/>
        <v>1</v>
      </c>
      <c r="F1" s="2" t="str">
        <f t="shared" ca="1" si="0"/>
        <v>x</v>
      </c>
      <c r="G1" s="2">
        <f t="shared" ca="1" si="0"/>
        <v>1</v>
      </c>
      <c r="H1" s="4">
        <f t="shared" ca="1" si="0"/>
        <v>1</v>
      </c>
      <c r="I1" s="65">
        <f t="shared" ca="1" si="0"/>
        <v>1</v>
      </c>
      <c r="J1" s="66" t="str">
        <f t="shared" ca="1" si="0"/>
        <v>x</v>
      </c>
      <c r="K1" s="77">
        <f t="shared" ca="1" si="0"/>
        <v>1</v>
      </c>
      <c r="L1" s="78" t="str">
        <f t="shared" ca="1" si="0"/>
        <v>x</v>
      </c>
      <c r="M1" s="108">
        <f t="shared" ca="1" si="0"/>
        <v>1</v>
      </c>
      <c r="N1" s="108">
        <f t="shared" ca="1" si="0"/>
        <v>1</v>
      </c>
      <c r="O1" s="89" t="str">
        <f t="shared" ca="1" si="0"/>
        <v>x</v>
      </c>
      <c r="P1" s="117" t="str">
        <f t="shared" ca="1" si="0"/>
        <v>x</v>
      </c>
      <c r="S1" s="96">
        <v>50</v>
      </c>
      <c r="T1">
        <v>80</v>
      </c>
      <c r="U1" s="64">
        <f ca="1">RANDBETWEEN(S1,T1)/100</f>
        <v>0.74</v>
      </c>
    </row>
    <row r="2" spans="1:21" ht="30" customHeight="1" x14ac:dyDescent="0.2">
      <c r="A2" s="5">
        <f t="shared" ref="A2:A16" ca="1" si="1">IF(RAND()&lt;$U$1,1,"x")</f>
        <v>1</v>
      </c>
      <c r="B2" s="6">
        <f t="shared" ca="1" si="0"/>
        <v>1</v>
      </c>
      <c r="C2" s="6">
        <f t="shared" ca="1" si="0"/>
        <v>1</v>
      </c>
      <c r="D2" s="7">
        <f t="shared" ca="1" si="0"/>
        <v>1</v>
      </c>
      <c r="E2" s="6">
        <f t="shared" ca="1" si="0"/>
        <v>1</v>
      </c>
      <c r="F2" s="6">
        <f t="shared" ca="1" si="0"/>
        <v>1</v>
      </c>
      <c r="G2" s="6">
        <f t="shared" ca="1" si="0"/>
        <v>1</v>
      </c>
      <c r="H2" s="8" t="str">
        <f t="shared" ca="1" si="0"/>
        <v>x</v>
      </c>
      <c r="I2" s="67" t="str">
        <f t="shared" ca="1" si="0"/>
        <v>x</v>
      </c>
      <c r="J2" s="68" t="str">
        <f t="shared" ca="1" si="0"/>
        <v>x</v>
      </c>
      <c r="K2" s="79">
        <f t="shared" ca="1" si="0"/>
        <v>1</v>
      </c>
      <c r="L2" s="80">
        <f t="shared" ca="1" si="0"/>
        <v>1</v>
      </c>
      <c r="M2" s="109">
        <f t="shared" ca="1" si="0"/>
        <v>1</v>
      </c>
      <c r="N2" s="109">
        <f t="shared" ca="1" si="0"/>
        <v>1</v>
      </c>
      <c r="O2" s="90">
        <f t="shared" ca="1" si="0"/>
        <v>1</v>
      </c>
      <c r="P2" s="118">
        <f t="shared" ca="1" si="0"/>
        <v>1</v>
      </c>
      <c r="S2" s="64"/>
    </row>
    <row r="3" spans="1:21" ht="30" customHeight="1" x14ac:dyDescent="0.2">
      <c r="A3" s="5">
        <f t="shared" ca="1" si="1"/>
        <v>1</v>
      </c>
      <c r="B3" s="6">
        <f t="shared" ca="1" si="0"/>
        <v>1</v>
      </c>
      <c r="C3" s="6">
        <f t="shared" ca="1" si="0"/>
        <v>1</v>
      </c>
      <c r="D3" s="7">
        <f t="shared" ca="1" si="0"/>
        <v>1</v>
      </c>
      <c r="E3" s="6">
        <f t="shared" ca="1" si="0"/>
        <v>1</v>
      </c>
      <c r="F3" s="9" t="str">
        <f t="shared" ca="1" si="0"/>
        <v>x</v>
      </c>
      <c r="G3" s="9">
        <f t="shared" ca="1" si="0"/>
        <v>1</v>
      </c>
      <c r="H3" s="8">
        <f t="shared" ca="1" si="0"/>
        <v>1</v>
      </c>
      <c r="I3" s="67" t="str">
        <f t="shared" ca="1" si="0"/>
        <v>x</v>
      </c>
      <c r="J3" s="68">
        <f t="shared" ca="1" si="0"/>
        <v>1</v>
      </c>
      <c r="K3" s="79">
        <f t="shared" ca="1" si="0"/>
        <v>1</v>
      </c>
      <c r="L3" s="80">
        <f t="shared" ca="1" si="0"/>
        <v>1</v>
      </c>
      <c r="M3" s="109">
        <f t="shared" ca="1" si="0"/>
        <v>1</v>
      </c>
      <c r="N3" s="109">
        <f t="shared" ca="1" si="0"/>
        <v>1</v>
      </c>
      <c r="O3" s="90" t="str">
        <f t="shared" ca="1" si="0"/>
        <v>x</v>
      </c>
      <c r="P3" s="118">
        <f t="shared" ca="1" si="0"/>
        <v>1</v>
      </c>
    </row>
    <row r="4" spans="1:21" ht="30" customHeight="1" x14ac:dyDescent="0.2">
      <c r="A4" s="10">
        <f t="shared" ca="1" si="1"/>
        <v>1</v>
      </c>
      <c r="B4" s="11">
        <f t="shared" ca="1" si="0"/>
        <v>1</v>
      </c>
      <c r="C4" s="11">
        <f t="shared" ca="1" si="0"/>
        <v>1</v>
      </c>
      <c r="D4" s="12" t="str">
        <f t="shared" ca="1" si="0"/>
        <v>x</v>
      </c>
      <c r="E4" s="11">
        <f t="shared" ca="1" si="0"/>
        <v>1</v>
      </c>
      <c r="F4" s="11">
        <f t="shared" ca="1" si="0"/>
        <v>1</v>
      </c>
      <c r="G4" s="11">
        <f t="shared" ca="1" si="0"/>
        <v>1</v>
      </c>
      <c r="H4" s="13">
        <f t="shared" ca="1" si="0"/>
        <v>1</v>
      </c>
      <c r="I4" s="67">
        <f t="shared" ca="1" si="0"/>
        <v>1</v>
      </c>
      <c r="J4" s="68">
        <f t="shared" ca="1" si="0"/>
        <v>1</v>
      </c>
      <c r="K4" s="79">
        <f t="shared" ca="1" si="0"/>
        <v>1</v>
      </c>
      <c r="L4" s="80" t="str">
        <f t="shared" ca="1" si="0"/>
        <v>x</v>
      </c>
      <c r="M4" s="109">
        <f t="shared" ca="1" si="0"/>
        <v>1</v>
      </c>
      <c r="N4" s="109" t="str">
        <f t="shared" ca="1" si="0"/>
        <v>x</v>
      </c>
      <c r="O4" s="90">
        <f t="shared" ca="1" si="0"/>
        <v>1</v>
      </c>
      <c r="P4" s="119">
        <f t="shared" ca="1" si="0"/>
        <v>1</v>
      </c>
    </row>
    <row r="5" spans="1:21" ht="30" customHeight="1" x14ac:dyDescent="0.2">
      <c r="A5" s="5" t="str">
        <f t="shared" ca="1" si="1"/>
        <v>x</v>
      </c>
      <c r="B5" s="6" t="str">
        <f t="shared" ca="1" si="0"/>
        <v>x</v>
      </c>
      <c r="C5" s="9">
        <f t="shared" ca="1" si="0"/>
        <v>1</v>
      </c>
      <c r="D5" s="7">
        <f t="shared" ca="1" si="0"/>
        <v>1</v>
      </c>
      <c r="E5" s="9">
        <f t="shared" ca="1" si="0"/>
        <v>1</v>
      </c>
      <c r="F5" s="9">
        <f t="shared" ca="1" si="0"/>
        <v>1</v>
      </c>
      <c r="G5" s="9" t="str">
        <f t="shared" ca="1" si="0"/>
        <v>x</v>
      </c>
      <c r="H5" s="8">
        <f t="shared" ca="1" si="0"/>
        <v>1</v>
      </c>
      <c r="I5" s="69">
        <f t="shared" ca="1" si="0"/>
        <v>1</v>
      </c>
      <c r="J5" s="70">
        <f t="shared" ca="1" si="0"/>
        <v>1</v>
      </c>
      <c r="K5" s="81" t="str">
        <f t="shared" ca="1" si="0"/>
        <v>x</v>
      </c>
      <c r="L5" s="82">
        <f t="shared" ca="1" si="0"/>
        <v>1</v>
      </c>
      <c r="M5" s="109">
        <f t="shared" ca="1" si="0"/>
        <v>1</v>
      </c>
      <c r="N5" s="109">
        <f t="shared" ca="1" si="0"/>
        <v>1</v>
      </c>
      <c r="O5" s="90">
        <f t="shared" ca="1" si="0"/>
        <v>1</v>
      </c>
      <c r="P5" s="118">
        <f t="shared" ca="1" si="0"/>
        <v>1</v>
      </c>
    </row>
    <row r="6" spans="1:21" ht="30" customHeight="1" x14ac:dyDescent="0.2">
      <c r="A6" s="5" t="str">
        <f t="shared" ca="1" si="1"/>
        <v>x</v>
      </c>
      <c r="B6" s="6" t="str">
        <f t="shared" ca="1" si="0"/>
        <v>x</v>
      </c>
      <c r="C6" s="6">
        <f t="shared" ca="1" si="0"/>
        <v>1</v>
      </c>
      <c r="D6" s="7">
        <f t="shared" ca="1" si="0"/>
        <v>1</v>
      </c>
      <c r="E6" s="6">
        <f t="shared" ca="1" si="0"/>
        <v>1</v>
      </c>
      <c r="F6" s="9">
        <f t="shared" ca="1" si="0"/>
        <v>1</v>
      </c>
      <c r="G6" s="9" t="str">
        <f t="shared" ca="1" si="0"/>
        <v>x</v>
      </c>
      <c r="H6" s="8">
        <f t="shared" ca="1" si="0"/>
        <v>1</v>
      </c>
      <c r="I6" s="67" t="str">
        <f t="shared" ca="1" si="0"/>
        <v>x</v>
      </c>
      <c r="J6" s="68" t="str">
        <f t="shared" ca="1" si="0"/>
        <v>x</v>
      </c>
      <c r="K6" s="83">
        <f t="shared" ca="1" si="0"/>
        <v>1</v>
      </c>
      <c r="L6" s="80" t="str">
        <f t="shared" ca="1" si="0"/>
        <v>x</v>
      </c>
      <c r="M6" s="110">
        <f t="shared" ca="1" si="0"/>
        <v>1</v>
      </c>
      <c r="N6" s="110">
        <f t="shared" ca="1" si="0"/>
        <v>1</v>
      </c>
      <c r="O6" s="111" t="str">
        <f t="shared" ca="1" si="0"/>
        <v>x</v>
      </c>
      <c r="P6" s="118">
        <f t="shared" ca="1" si="0"/>
        <v>1</v>
      </c>
    </row>
    <row r="7" spans="1:21" ht="30" customHeight="1" x14ac:dyDescent="0.2">
      <c r="A7" s="5">
        <f t="shared" ca="1" si="1"/>
        <v>1</v>
      </c>
      <c r="B7" s="9" t="str">
        <f t="shared" ca="1" si="0"/>
        <v>x</v>
      </c>
      <c r="C7" s="9" t="str">
        <f t="shared" ca="1" si="0"/>
        <v>x</v>
      </c>
      <c r="D7" s="7">
        <f t="shared" ca="1" si="0"/>
        <v>1</v>
      </c>
      <c r="E7" s="6">
        <f t="shared" ca="1" si="0"/>
        <v>1</v>
      </c>
      <c r="F7" s="9">
        <f t="shared" ca="1" si="0"/>
        <v>1</v>
      </c>
      <c r="G7" s="9">
        <f t="shared" ca="1" si="0"/>
        <v>1</v>
      </c>
      <c r="H7" s="8">
        <f t="shared" ca="1" si="0"/>
        <v>1</v>
      </c>
      <c r="I7" s="67">
        <f t="shared" ca="1" si="0"/>
        <v>1</v>
      </c>
      <c r="J7" s="68">
        <f t="shared" ca="1" si="0"/>
        <v>1</v>
      </c>
      <c r="K7" s="83" t="str">
        <f t="shared" ca="1" si="0"/>
        <v>x</v>
      </c>
      <c r="L7" s="80">
        <f t="shared" ca="1" si="0"/>
        <v>1</v>
      </c>
      <c r="M7" s="109">
        <f t="shared" ca="1" si="0"/>
        <v>1</v>
      </c>
      <c r="N7" s="109">
        <f t="shared" ca="1" si="0"/>
        <v>1</v>
      </c>
      <c r="O7" s="90">
        <f t="shared" ca="1" si="0"/>
        <v>1</v>
      </c>
      <c r="P7" s="118">
        <f t="shared" ca="1" si="0"/>
        <v>1</v>
      </c>
    </row>
    <row r="8" spans="1:21" ht="30" customHeight="1" thickBot="1" x14ac:dyDescent="0.25">
      <c r="A8" s="14">
        <f t="shared" ca="1" si="1"/>
        <v>1</v>
      </c>
      <c r="B8" s="15" t="str">
        <f t="shared" ca="1" si="0"/>
        <v>x</v>
      </c>
      <c r="C8" s="15" t="str">
        <f t="shared" ca="1" si="0"/>
        <v>x</v>
      </c>
      <c r="D8" s="16" t="str">
        <f t="shared" ca="1" si="0"/>
        <v>x</v>
      </c>
      <c r="E8" s="15">
        <f t="shared" ca="1" si="0"/>
        <v>1</v>
      </c>
      <c r="F8" s="15" t="str">
        <f t="shared" ca="1" si="0"/>
        <v>x</v>
      </c>
      <c r="G8" s="15">
        <f t="shared" ca="1" si="0"/>
        <v>1</v>
      </c>
      <c r="H8" s="17">
        <f t="shared" ca="1" si="0"/>
        <v>1</v>
      </c>
      <c r="I8" s="67" t="str">
        <f t="shared" ca="1" si="0"/>
        <v>x</v>
      </c>
      <c r="J8" s="68">
        <f t="shared" ca="1" si="0"/>
        <v>1</v>
      </c>
      <c r="K8" s="83">
        <f t="shared" ca="1" si="0"/>
        <v>1</v>
      </c>
      <c r="L8" s="80" t="str">
        <f t="shared" ca="1" si="0"/>
        <v>x</v>
      </c>
      <c r="M8" s="109">
        <f t="shared" ca="1" si="0"/>
        <v>1</v>
      </c>
      <c r="N8" s="109">
        <f t="shared" ca="1" si="0"/>
        <v>1</v>
      </c>
      <c r="O8" s="90">
        <f t="shared" ca="1" si="0"/>
        <v>1</v>
      </c>
      <c r="P8" s="120">
        <f t="shared" ca="1" si="0"/>
        <v>1</v>
      </c>
    </row>
    <row r="9" spans="1:21" ht="30" customHeight="1" x14ac:dyDescent="0.2">
      <c r="A9" s="73">
        <f t="shared" ca="1" si="1"/>
        <v>1</v>
      </c>
      <c r="B9" s="67">
        <f t="shared" ca="1" si="0"/>
        <v>1</v>
      </c>
      <c r="C9" s="67" t="str">
        <f t="shared" ca="1" si="0"/>
        <v>x</v>
      </c>
      <c r="D9" s="67">
        <f t="shared" ca="1" si="0"/>
        <v>1</v>
      </c>
      <c r="E9" s="67">
        <f t="shared" ca="1" si="0"/>
        <v>1</v>
      </c>
      <c r="F9" s="74">
        <f t="shared" ca="1" si="0"/>
        <v>1</v>
      </c>
      <c r="G9" s="67">
        <f t="shared" ca="1" si="0"/>
        <v>1</v>
      </c>
      <c r="H9" s="67" t="str">
        <f t="shared" ca="1" si="0"/>
        <v>x</v>
      </c>
      <c r="I9" s="67" t="str">
        <f t="shared" ca="1" si="0"/>
        <v>x</v>
      </c>
      <c r="J9" s="68" t="str">
        <f t="shared" ca="1" si="0"/>
        <v>x</v>
      </c>
      <c r="K9" s="81">
        <f t="shared" ca="1" si="0"/>
        <v>1</v>
      </c>
      <c r="L9" s="82">
        <f t="shared" ca="1" si="0"/>
        <v>1</v>
      </c>
      <c r="M9" s="109" t="str">
        <f t="shared" ca="1" si="0"/>
        <v>x</v>
      </c>
      <c r="N9" s="109">
        <f t="shared" ca="1" si="0"/>
        <v>1</v>
      </c>
      <c r="O9" s="90">
        <f t="shared" ca="1" si="0"/>
        <v>1</v>
      </c>
      <c r="P9" s="117">
        <f t="shared" ca="1" si="0"/>
        <v>1</v>
      </c>
    </row>
    <row r="10" spans="1:21" ht="30" customHeight="1" thickBot="1" x14ac:dyDescent="0.25">
      <c r="A10" s="75">
        <f t="shared" ca="1" si="1"/>
        <v>1</v>
      </c>
      <c r="B10" s="71" t="str">
        <f t="shared" ca="1" si="0"/>
        <v>x</v>
      </c>
      <c r="C10" s="71">
        <f t="shared" ca="1" si="0"/>
        <v>1</v>
      </c>
      <c r="D10" s="71">
        <f t="shared" ca="1" si="0"/>
        <v>1</v>
      </c>
      <c r="E10" s="71">
        <f t="shared" ca="1" si="0"/>
        <v>1</v>
      </c>
      <c r="F10" s="76">
        <f t="shared" ca="1" si="0"/>
        <v>1</v>
      </c>
      <c r="G10" s="71">
        <f t="shared" ca="1" si="0"/>
        <v>1</v>
      </c>
      <c r="H10" s="71">
        <f t="shared" ca="1" si="0"/>
        <v>1</v>
      </c>
      <c r="I10" s="71">
        <f t="shared" ca="1" si="0"/>
        <v>1</v>
      </c>
      <c r="J10" s="72" t="str">
        <f t="shared" ca="1" si="0"/>
        <v>x</v>
      </c>
      <c r="K10" s="83">
        <f t="shared" ca="1" si="0"/>
        <v>1</v>
      </c>
      <c r="L10" s="80">
        <f t="shared" ca="1" si="0"/>
        <v>1</v>
      </c>
      <c r="M10" s="112">
        <f t="shared" ca="1" si="0"/>
        <v>1</v>
      </c>
      <c r="N10" s="112">
        <f t="shared" ca="1" si="0"/>
        <v>1</v>
      </c>
      <c r="O10" s="91">
        <f t="shared" ca="1" si="0"/>
        <v>1</v>
      </c>
      <c r="P10" s="118">
        <f t="shared" ca="1" si="0"/>
        <v>1</v>
      </c>
    </row>
    <row r="11" spans="1:21" ht="30" customHeight="1" x14ac:dyDescent="0.2">
      <c r="A11" s="83">
        <f t="shared" ca="1" si="1"/>
        <v>1</v>
      </c>
      <c r="B11" s="79">
        <f t="shared" ca="1" si="0"/>
        <v>1</v>
      </c>
      <c r="C11" s="79" t="str">
        <f t="shared" ca="1" si="0"/>
        <v>x</v>
      </c>
      <c r="D11" s="79" t="str">
        <f t="shared" ca="1" si="0"/>
        <v>x</v>
      </c>
      <c r="E11" s="86">
        <f t="shared" ca="1" si="0"/>
        <v>1</v>
      </c>
      <c r="F11" s="77" t="str">
        <f t="shared" ca="1" si="0"/>
        <v>x</v>
      </c>
      <c r="G11" s="77">
        <f t="shared" ca="1" si="0"/>
        <v>1</v>
      </c>
      <c r="H11" s="77" t="str">
        <f t="shared" ca="1" si="0"/>
        <v>x</v>
      </c>
      <c r="I11" s="86">
        <f t="shared" ca="1" si="0"/>
        <v>1</v>
      </c>
      <c r="J11" s="77">
        <f t="shared" ca="1" si="0"/>
        <v>1</v>
      </c>
      <c r="K11" s="79">
        <f t="shared" ca="1" si="0"/>
        <v>1</v>
      </c>
      <c r="L11" s="80" t="str">
        <f t="shared" ca="1" si="0"/>
        <v>x</v>
      </c>
      <c r="M11" s="109" t="str">
        <f t="shared" ca="1" si="0"/>
        <v>x</v>
      </c>
      <c r="N11" s="109">
        <f t="shared" ca="1" si="0"/>
        <v>1</v>
      </c>
      <c r="O11" s="90">
        <f t="shared" ca="1" si="0"/>
        <v>1</v>
      </c>
      <c r="P11" s="118" t="str">
        <f t="shared" ca="1" si="0"/>
        <v>x</v>
      </c>
    </row>
    <row r="12" spans="1:21" ht="30" customHeight="1" thickBot="1" x14ac:dyDescent="0.25">
      <c r="A12" s="87">
        <f t="shared" ca="1" si="1"/>
        <v>1</v>
      </c>
      <c r="B12" s="84">
        <f t="shared" ca="1" si="0"/>
        <v>1</v>
      </c>
      <c r="C12" s="84" t="str">
        <f t="shared" ca="1" si="0"/>
        <v>x</v>
      </c>
      <c r="D12" s="84">
        <f t="shared" ca="1" si="0"/>
        <v>1</v>
      </c>
      <c r="E12" s="88">
        <f t="shared" ca="1" si="0"/>
        <v>1</v>
      </c>
      <c r="F12" s="84">
        <f t="shared" ca="1" si="0"/>
        <v>1</v>
      </c>
      <c r="G12" s="84">
        <f t="shared" ca="1" si="0"/>
        <v>1</v>
      </c>
      <c r="H12" s="84">
        <f t="shared" ca="1" si="0"/>
        <v>1</v>
      </c>
      <c r="I12" s="88" t="str">
        <f t="shared" ca="1" si="0"/>
        <v>x</v>
      </c>
      <c r="J12" s="84">
        <f t="shared" ca="1" si="0"/>
        <v>1</v>
      </c>
      <c r="K12" s="84" t="str">
        <f t="shared" ca="1" si="0"/>
        <v>x</v>
      </c>
      <c r="L12" s="85">
        <f t="shared" ca="1" si="0"/>
        <v>1</v>
      </c>
      <c r="M12" s="109">
        <f t="shared" ca="1" si="0"/>
        <v>1</v>
      </c>
      <c r="N12" s="109">
        <f t="shared" ca="1" si="0"/>
        <v>1</v>
      </c>
      <c r="O12" s="90">
        <f t="shared" ca="1" si="0"/>
        <v>1</v>
      </c>
      <c r="P12" s="119" t="str">
        <f t="shared" ca="1" si="0"/>
        <v>x</v>
      </c>
    </row>
    <row r="13" spans="1:21" ht="30" customHeight="1" x14ac:dyDescent="0.2">
      <c r="A13" s="113">
        <f t="shared" ca="1" si="1"/>
        <v>1</v>
      </c>
      <c r="B13" s="109">
        <f t="shared" ca="1" si="0"/>
        <v>1</v>
      </c>
      <c r="C13" s="109" t="str">
        <f t="shared" ca="1" si="0"/>
        <v>x</v>
      </c>
      <c r="D13" s="109">
        <f t="shared" ca="1" si="0"/>
        <v>1</v>
      </c>
      <c r="E13" s="109" t="str">
        <f t="shared" ca="1" si="0"/>
        <v>x</v>
      </c>
      <c r="F13" s="114">
        <f t="shared" ca="1" si="0"/>
        <v>1</v>
      </c>
      <c r="G13" s="109">
        <f t="shared" ca="1" si="0"/>
        <v>1</v>
      </c>
      <c r="H13" s="109" t="str">
        <f t="shared" ca="1" si="0"/>
        <v>x</v>
      </c>
      <c r="I13" s="109">
        <f t="shared" ca="1" si="0"/>
        <v>1</v>
      </c>
      <c r="J13" s="115">
        <f t="shared" ca="1" si="0"/>
        <v>1</v>
      </c>
      <c r="K13" s="109" t="str">
        <f t="shared" ca="1" si="0"/>
        <v>x</v>
      </c>
      <c r="L13" s="109">
        <f t="shared" ca="1" si="0"/>
        <v>1</v>
      </c>
      <c r="M13" s="109">
        <f t="shared" ca="1" si="0"/>
        <v>1</v>
      </c>
      <c r="N13" s="109">
        <f t="shared" ca="1" si="0"/>
        <v>1</v>
      </c>
      <c r="O13" s="90">
        <f t="shared" ca="1" si="0"/>
        <v>1</v>
      </c>
      <c r="P13" s="118">
        <f t="shared" ca="1" si="0"/>
        <v>1</v>
      </c>
    </row>
    <row r="14" spans="1:21" ht="30" customHeight="1" x14ac:dyDescent="0.2">
      <c r="A14" s="113" t="str">
        <f t="shared" ca="1" si="1"/>
        <v>x</v>
      </c>
      <c r="B14" s="109" t="str">
        <f t="shared" ca="1" si="0"/>
        <v>x</v>
      </c>
      <c r="C14" s="109" t="str">
        <f t="shared" ca="1" si="0"/>
        <v>x</v>
      </c>
      <c r="D14" s="109">
        <f t="shared" ca="1" si="0"/>
        <v>1</v>
      </c>
      <c r="E14" s="109" t="str">
        <f t="shared" ca="1" si="0"/>
        <v>x</v>
      </c>
      <c r="F14" s="114">
        <f t="shared" ca="1" si="0"/>
        <v>1</v>
      </c>
      <c r="G14" s="109" t="str">
        <f t="shared" ca="1" si="0"/>
        <v>x</v>
      </c>
      <c r="H14" s="109">
        <f t="shared" ca="1" si="0"/>
        <v>1</v>
      </c>
      <c r="I14" s="109">
        <f t="shared" ca="1" si="0"/>
        <v>1</v>
      </c>
      <c r="J14" s="115" t="str">
        <f t="shared" ca="1" si="0"/>
        <v>x</v>
      </c>
      <c r="K14" s="109">
        <f t="shared" ca="1" si="0"/>
        <v>1</v>
      </c>
      <c r="L14" s="109">
        <f t="shared" ca="1" si="0"/>
        <v>1</v>
      </c>
      <c r="M14" s="109">
        <f t="shared" ca="1" si="0"/>
        <v>1</v>
      </c>
      <c r="N14" s="109" t="str">
        <f t="shared" ca="1" si="0"/>
        <v>x</v>
      </c>
      <c r="O14" s="90">
        <f t="shared" ca="1" si="0"/>
        <v>1</v>
      </c>
      <c r="P14" s="118" t="str">
        <f t="shared" ca="1" si="0"/>
        <v>x</v>
      </c>
    </row>
    <row r="15" spans="1:21" ht="30" customHeight="1" thickBot="1" x14ac:dyDescent="0.25">
      <c r="A15" s="93">
        <f t="shared" ca="1" si="1"/>
        <v>1</v>
      </c>
      <c r="B15" s="94">
        <f t="shared" ca="1" si="0"/>
        <v>1</v>
      </c>
      <c r="C15" s="94">
        <f t="shared" ca="1" si="0"/>
        <v>1</v>
      </c>
      <c r="D15" s="94" t="str">
        <f t="shared" ca="1" si="0"/>
        <v>x</v>
      </c>
      <c r="E15" s="94">
        <f t="shared" ca="1" si="0"/>
        <v>1</v>
      </c>
      <c r="F15" s="116" t="str">
        <f t="shared" ca="1" si="0"/>
        <v>x</v>
      </c>
      <c r="G15" s="94">
        <f t="shared" ca="1" si="0"/>
        <v>1</v>
      </c>
      <c r="H15" s="94">
        <f t="shared" ca="1" si="0"/>
        <v>1</v>
      </c>
      <c r="I15" s="94" t="str">
        <f t="shared" ca="1" si="0"/>
        <v>x</v>
      </c>
      <c r="J15" s="95">
        <f t="shared" ca="1" si="0"/>
        <v>1</v>
      </c>
      <c r="K15" s="94" t="str">
        <f t="shared" ca="1" si="0"/>
        <v>x</v>
      </c>
      <c r="L15" s="94">
        <f t="shared" ca="1" si="0"/>
        <v>1</v>
      </c>
      <c r="M15" s="94">
        <f t="shared" ca="1" si="0"/>
        <v>1</v>
      </c>
      <c r="N15" s="94">
        <f t="shared" ca="1" si="0"/>
        <v>1</v>
      </c>
      <c r="O15" s="92">
        <f t="shared" ca="1" si="0"/>
        <v>1</v>
      </c>
      <c r="P15" s="118">
        <f t="shared" ca="1" si="0"/>
        <v>1</v>
      </c>
    </row>
    <row r="16" spans="1:21" ht="30" customHeight="1" thickBot="1" x14ac:dyDescent="0.25">
      <c r="A16" s="121">
        <f t="shared" ca="1" si="1"/>
        <v>1</v>
      </c>
      <c r="B16" s="122">
        <f t="shared" ca="1" si="0"/>
        <v>1</v>
      </c>
      <c r="C16" s="122">
        <f t="shared" ca="1" si="0"/>
        <v>1</v>
      </c>
      <c r="D16" s="123" t="str">
        <f t="shared" ca="1" si="0"/>
        <v>x</v>
      </c>
      <c r="E16" s="122">
        <f t="shared" ca="1" si="0"/>
        <v>1</v>
      </c>
      <c r="F16" s="122">
        <f t="shared" ca="1" si="0"/>
        <v>1</v>
      </c>
      <c r="G16" s="122" t="str">
        <f t="shared" ca="1" si="0"/>
        <v>x</v>
      </c>
      <c r="H16" s="120" t="str">
        <f t="shared" ca="1" si="0"/>
        <v>x</v>
      </c>
      <c r="I16" s="121">
        <f t="shared" ca="1" si="0"/>
        <v>1</v>
      </c>
      <c r="J16" s="122">
        <f t="shared" ca="1" si="0"/>
        <v>1</v>
      </c>
      <c r="K16" s="122">
        <f t="shared" ca="1" si="0"/>
        <v>1</v>
      </c>
      <c r="L16" s="123" t="str">
        <f t="shared" ca="1" si="0"/>
        <v>x</v>
      </c>
      <c r="M16" s="122">
        <f t="shared" ca="1" si="0"/>
        <v>1</v>
      </c>
      <c r="N16" s="122">
        <f t="shared" ca="1" si="0"/>
        <v>1</v>
      </c>
      <c r="O16" s="122">
        <f t="shared" ca="1" si="0"/>
        <v>1</v>
      </c>
      <c r="P16" s="120">
        <f t="shared" ca="1" si="0"/>
        <v>1</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10</vt:i4>
      </vt:variant>
    </vt:vector>
  </HeadingPairs>
  <TitlesOfParts>
    <vt:vector size="15" baseType="lpstr">
      <vt:lpstr>玩法</vt:lpstr>
      <vt:lpstr>8x8</vt:lpstr>
      <vt:lpstr>10x10</vt:lpstr>
      <vt:lpstr>15x15</vt:lpstr>
      <vt:lpstr>随机矩阵</vt:lpstr>
      <vt:lpstr>'10x10'!answer</vt:lpstr>
      <vt:lpstr>'15x15'!answer</vt:lpstr>
      <vt:lpstr>'8x8'!answer</vt:lpstr>
      <vt:lpstr>'10x10'!mininavi</vt:lpstr>
      <vt:lpstr>'15x15'!mininavi</vt:lpstr>
      <vt:lpstr>'8x8'!mininavi</vt:lpstr>
      <vt:lpstr>'10x10'!solution</vt:lpstr>
      <vt:lpstr>'15x15'!solution</vt:lpstr>
      <vt:lpstr>'8x8'!solution</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Cloud</dc:creator>
  <cp:lastModifiedBy>Cloud</cp:lastModifiedBy>
  <dcterms:created xsi:type="dcterms:W3CDTF">2020-01-26T09:34:02Z</dcterms:created>
  <dcterms:modified xsi:type="dcterms:W3CDTF">2020-01-30T09:10:16Z</dcterms:modified>
</cp:coreProperties>
</file>